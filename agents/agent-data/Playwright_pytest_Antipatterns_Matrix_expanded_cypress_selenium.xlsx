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022acbd58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d96f065b64fe46fc"/>
    <x:sheet xmlns:r="http://schemas.openxmlformats.org/officeDocument/2006/relationships" name="Builder" sheetId="2" r:id="R23cef4fbd9f44470"/>
    <x:sheet xmlns:r="http://schemas.openxmlformats.org/officeDocument/2006/relationships" name="Lists" sheetId="3" r:id="Rf21c7b47c2794f60"/>
    <x:sheet xmlns:r="http://schemas.openxmlformats.org/officeDocument/2006/relationships" name="Glossary" sheetId="4" r:id="Rd0381cba5f4f4e37"/>
    <x:sheet xmlns:r="http://schemas.openxmlformats.org/officeDocument/2006/relationships" name="Pricing" sheetId="5" r:id="Rff61cef42ead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"/>
    <x:numFmt numFmtId="165" formatCode="0.0"/>
    <x:numFmt numFmtId="166" formatCode="$#,##0.00"/>
  </x:numFmts>
  <x:fonts count="4">
    <x:font>
      <x:sz val="11"/>
      <x:color theme="1"/>
      <x:name val="Calibri"/>
    </x:font>
    <x:font>
      <x:b/>
    </x:font>
    <x:font>
      <x:b/>
      <x:sz val="14"/>
    </x:font>
    <x:font>
      <x:color rgb="666666"/>
    </x:font>
  </x:fonts>
  <x:fills count="7">
    <x:fill>
      <x:patternFill patternType="none"/>
    </x:fill>
    <x:fill>
      <x:patternFill patternType="gray125"/>
    </x:fill>
    <x:fill>
      <x:patternFill patternType="solid">
        <x:fgColor rgb="F2F2F2"/>
      </x:patternFill>
    </x:fill>
    <x:fill>
      <x:patternFill patternType="solid">
        <x:fgColor rgb="E8F0FE"/>
      </x:patternFill>
    </x:fill>
    <x:fill>
      <x:patternFill patternType="solid">
        <x:fgColor rgb="FFF2CC"/>
      </x:patternFill>
    </x:fill>
    <x:fill>
      <x:patternFill patternType="solid">
        <x:fgColor rgb="F8F9FA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3" borderId="0" xfId="0" applyAlignment="1">
      <x:alignment horizontal="center" wrapText="1"/>
    </x:xf>
    <x:xf numFmtId="0" fontId="1" fillId="3" borderId="0" xfId="0"/>
    <x:xf numFmtId="0" fontId="0" fillId="0" borderId="0" xfId="0" applyAlignment="1">
      <x:alignment vertical="top" wrapText="1"/>
    </x:xf>
    <x:xf numFmtId="0" fontId="2" fillId="0" borderId="0" xfId="0"/>
    <x:xf numFmtId="0" fontId="3" fillId="0" borderId="0" xfId="0"/>
    <x:xf numFmtId="0" fontId="1" fillId="0" borderId="0" xfId="0" applyAlignment="1">
      <x:alignment horizontal="right"/>
    </x:xf>
    <x:xf numFmtId="0" fontId="0" fillId="4" borderId="0" xfId="0"/>
    <x:xf numFmtId="0" fontId="1" fillId="0" borderId="0" xfId="0"/>
    <x:xf numFmtId="0" fontId="0" fillId="0" borderId="0" xfId="0" applyAlignment="1">
      <x:alignment wrapText="1"/>
    </x:xf>
    <x:xf numFmtId="0" fontId="1" fillId="0" borderId="0" xfId="0" applyAlignment="1">
      <x:alignment horizontal="right" vertical="top"/>
    </x:xf>
    <x:xf numFmtId="0" fontId="0" fillId="5" borderId="0" xfId="0" applyAlignment="1">
      <x:alignment vertical="top" wrapText="1"/>
    </x:xf>
    <x:xf numFmtId="0" fontId="0" fillId="6" borderId="0" xfId="0" applyAlignment="1">
      <x:alignment wrapText="1"/>
    </x:xf>
    <x:xf numFmtId="0" fontId="1" fillId="2" borderId="0" xfId="0" applyAlignment="1">
      <x:alignment horizontal="center" wrapText="1"/>
    </x:xf>
    <x:xf numFmtId="165" fontId="0" fillId="0" borderId="0" xfId="0" applyAlignment="1">
      <x:alignment horizontal="center" vertical="center" wrapText="1"/>
    </x:xf>
    <x:xf numFmtId="2" fontId="0" fillId="0" borderId="0" xfId="0" applyAlignment="1">
      <x:alignment horizontal="center" vertical="center" wrapText="1"/>
    </x:xf>
    <x:xf numFmtId="164" fontId="0" fillId="0" borderId="0" xfId="0" applyAlignment="1">
      <x:alignment horizontal="center" vertical="center" wrapText="1"/>
    </x:xf>
    <x:xf numFmtId="166" fontId="0" fillId="0" borderId="0" xfId="0" applyAlignment="1">
      <x:alignment horizontal="center" vertical="center" wrapText="1"/>
    </x:xf>
    <x:xf numFmtId="165" fontId="0" fillId="5" borderId="0" xfId="0" applyAlignment="1">
      <x:alignment vertical="top" wrapText="1"/>
    </x:xf>
    <x:xf numFmtId="164" fontId="0" fillId="5" borderId="0" xfId="0" applyAlignment="1">
      <x:alignment vertical="top" wrapText="1"/>
    </x:xf>
    <x:xf numFmtId="166" fontId="0" fillId="5" borderId="0" xfId="0" applyAlignment="1">
      <x:alignment vertical="top" wrapText="1"/>
    </x:xf>
    <x:xf numFmtId="0" fontId="0" fillId="0" borderId="0" xfId="0" applyAlignment="1">
      <x:alignment horizontal="center"/>
    </x:xf>
    <x:xf numFmtId="164" fontId="0" fillId="0" borderId="0" xfId="0" applyAlignment="1">
      <x:alignment horizontal="center"/>
    </x:xf>
    <x:xf numFmtId="2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0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ef5ee0bcf4fdc" /><Relationship Type="http://schemas.openxmlformats.org/officeDocument/2006/relationships/theme" Target="/xl/theme/theme1.xml" Id="Rf078bf774b6b4937" /><Relationship Type="http://schemas.openxmlformats.org/officeDocument/2006/relationships/sharedStrings" Target="/xl/sharedStrings.xml" Id="R6cb4b47bfa45467e" /><Relationship Type="http://schemas.openxmlformats.org/officeDocument/2006/relationships/worksheet" Target="/xl/worksheets/sheet1.xml" Id="Rd96f065b64fe46fc" /><Relationship Type="http://schemas.openxmlformats.org/officeDocument/2006/relationships/worksheet" Target="/xl/worksheets/sheet2.xml" Id="R23cef4fbd9f44470" /><Relationship Type="http://schemas.openxmlformats.org/officeDocument/2006/relationships/worksheet" Target="/xl/worksheets/sheet3.xml" Id="Rf21c7b47c2794f60" /><Relationship Type="http://schemas.openxmlformats.org/officeDocument/2006/relationships/worksheet" Target="/xl/worksheets/sheet4.xml" Id="Rd0381cba5f4f4e37" /><Relationship Type="http://schemas.openxmlformats.org/officeDocument/2006/relationships/worksheet" Target="/xl/worksheets/sheet5.xml" Id="Rff61cef42ead42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2" customWidth="1"/>
    <x:col min="3" max="3" width="26" customWidth="1"/>
    <x:col min="4" max="4" width="34" customWidth="1"/>
    <x:col min="5" max="5" width="10" customWidth="1"/>
    <x:col min="6" max="6" width="34" customWidth="1"/>
    <x:col min="7" max="7" width="28" customWidth="1"/>
    <x:col min="8" max="8" width="32" customWidth="1"/>
    <x:col min="9" max="9" width="30" customWidth="1"/>
    <x:col min="10" max="10" width="34" customWidth="1"/>
    <x:col min="11" max="11" width="48" customWidth="1"/>
    <x:col min="12" max="12" width="30" customWidth="1"/>
    <x:col min="13" max="13" width="28" customWidth="1"/>
    <x:col min="14" max="14" width="22" customWidth="1"/>
    <x:col min="15" max="15" width="14" customWidth="1"/>
    <x:col min="16" max="16" width="14" customWidth="1"/>
    <x:col min="17" max="17" width="14" customWidth="1"/>
    <x:col min="18" max="18" width="12" customWidth="1"/>
    <x:col min="19" max="19" width="22" customWidth="1"/>
    <x:col min="20" max="20" width="18" customWidth="1"/>
    <x:col min="21" max="21" width="12" customWidth="1"/>
    <x:col min="22" max="22" width="14" customWidth="1"/>
    <x:col min="23" max="23" width="12" customWidth="1"/>
    <x:col min="24" max="24" width="16" customWidth="1"/>
    <x:col min="25" max="25" width="14" customWidth="1"/>
    <x:col min="26" max="26" width="12" customWidth="1"/>
    <x:col min="27" max="27" width="14" customWidth="1"/>
  </x:cols>
  <x:sheetData>
    <x:row r="1" ht="26.85546875" hidden="0" customHeight="1">
      <x:c r="A1" s="1" t="inlineStr">
        <x:is>
          <x:t xml:space="preserve">Key</x:t>
        </x:is>
      </x:c>
      <x:c r="B1" s="1" t="inlineStr">
        <x:is>
          <x:t xml:space="preserve">Framework</x:t>
        </x:is>
      </x:c>
      <x:c r="C1" s="1" t="inlineStr">
        <x:is>
          <x:t xml:space="preserve">Category</x:t>
        </x:is>
      </x:c>
      <x:c r="D1" s="1" t="inlineStr">
        <x:is>
          <x:t xml:space="preserve">Anti-pattern</x:t>
        </x:is>
      </x:c>
      <x:c r="E1" s="1" t="inlineStr">
        <x:is>
          <x:t xml:space="preserve">Severity</x:t>
        </x:is>
      </x:c>
      <x:c r="F1" s="1" t="inlineStr">
        <x:is>
          <x:t xml:space="preserve">Symptom / Failure Mode</x:t>
        </x:is>
      </x:c>
      <x:c r="G1" s="1" t="inlineStr">
        <x:is>
          <x:t xml:space="preserve">Root Cause</x:t>
        </x:is>
      </x:c>
      <x:c r="H1" s="1" t="inlineStr">
        <x:is>
          <x:t xml:space="preserve">Detection Heuristic</x:t>
        </x:is>
      </x:c>
      <x:c r="I1" s="1" t="inlineStr">
        <x:is>
          <x:t xml:space="preserve">Preferred Pattern</x:t>
        </x:is>
      </x:c>
      <x:c r="J1" s="1" t="inlineStr">
        <x:is>
          <x:t xml:space="preserve">Fix / Refactor Steps</x:t>
        </x:is>
      </x:c>
      <x:c r="K1" s="1" t="inlineStr">
        <x:is>
          <x:t xml:space="preserve">Example (Bad → Good)</x:t>
        </x:is>
      </x:c>
      <x:c r="L1" s="1" t="inlineStr">
        <x:is>
          <x:t xml:space="preserve">CI Guardrail / Policy</x:t>
        </x:is>
      </x:c>
      <x:c r="M1" s="1" t="inlineStr">
        <x:is>
          <x:t xml:space="preserve">Notes</x:t>
        </x:is>
      </x:c>
      <x:c r="N1" s="2" t="inlineStr">
        <x:is>
          <x:t xml:space="preserve">FilterKey</x:t>
        </x:is>
      </x:c>
      <x:c r="O1" s="1" t="inlineStr">
        <x:is>
          <x:t xml:space="preserve">Trust Level</x:t>
        </x:is>
      </x:c>
      <x:c r="P1" s="1" t="inlineStr">
        <x:is>
          <x:t xml:space="preserve">Scope</x:t>
        </x:is>
      </x:c>
      <x:c r="Q1" s="1" t="inlineStr">
        <x:is>
          <x:t xml:space="preserve">Layer</x:t>
        </x:is>
      </x:c>
      <x:c r="R1" s="1" t="inlineStr">
        <x:is>
          <x:t xml:space="preserve">First Sprint</x:t>
        </x:is>
      </x:c>
      <x:c r="S1" s="1" t="inlineStr">
        <x:is>
          <x:t xml:space="preserve">Release Impact</x:t>
        </x:is>
      </x:c>
      <x:c r="T1" s="1" t="inlineStr">
        <x:is>
          <x:t xml:space="preserve">Path Recommendation</x:t>
        </x:is>
      </x:c>
      <x:c r="U1" s="1" t="inlineStr">
        <x:is>
          <x:t xml:space="preserve">Base Hours</x:t>
        </x:is>
      </x:c>
      <x:c r="V1" s="1" t="inlineStr">
        <x:is>
          <x:t xml:space="preserve">Severity Multiplier</x:t>
        </x:is>
      </x:c>
      <x:c r="W1" s="1" t="inlineStr">
        <x:is>
          <x:t xml:space="preserve">Scope Multiplier</x:t>
        </x:is>
      </x:c>
      <x:c r="X1" s="1" t="inlineStr">
        <x:is>
          <x:t xml:space="preserve">Framework Multiplier</x:t>
        </x:is>
      </x:c>
      <x:c r="Y1" s="1" t="inlineStr">
        <x:is>
          <x:t xml:space="preserve">Estimated Hours</x:t>
        </x:is>
      </x:c>
      <x:c r="Z1" s="1" t="inlineStr">
        <x:is>
          <x:t xml:space="preserve">Hourly Rate</x:t>
        </x:is>
      </x:c>
      <x:c r="AA1" s="1" t="inlineStr">
        <x:is>
          <x:t xml:space="preserve">Estimated Cost</x:t>
        </x:is>
      </x:c>
    </x:row>
    <x:row r="2" ht="40.283203125" hidden="0" customHeight="1">
      <x:c r="A2" s="3" t="inlineStr">
        <x:is>
          <x:t xml:space="preserve">Playwright|Selectors &amp; Locators|Brittle CSS chains (deep selectors)</x:t>
        </x:is>
      </x:c>
      <x:c r="B2" s="3" t="inlineStr">
        <x:is>
          <x:t xml:space="preserve">Playwright</x:t>
        </x:is>
      </x:c>
      <x:c r="C2" s="3" t="inlineStr">
        <x:is>
          <x:t xml:space="preserve">Selectors &amp; Locators</x:t>
        </x:is>
      </x:c>
      <x:c r="D2" s="3" t="inlineStr">
        <x:is>
          <x:t xml:space="preserve">Brittle CSS chains (deep selectors)</x:t>
        </x:is>
      </x:c>
      <x:c r="E2" s="3" t="inlineStr">
        <x:is>
          <x:t xml:space="preserve">High</x:t>
        </x:is>
      </x:c>
      <x:c r="F2" s="3" t="inlineStr">
        <x:is>
          <x:t xml:space="preserve">Breaks on minor UI refactors; frequent locator failures.</x:t>
        </x:is>
      </x:c>
      <x:c r="G2" s="3" t="inlineStr">
        <x:is>
          <x:t xml:space="preserve">Selectors coupled to DOM structure/classes that change often.</x:t>
        </x:is>
      </x:c>
      <x:c r="H2" s="3" t="inlineStr">
        <x:is>
          <x:t xml:space="preserve">High churn on selectors; failures after UI styling work.</x:t>
        </x:is>
      </x:c>
      <x:c r="I2" s="3" t="inlineStr">
        <x:is>
          <x:t xml:space="preserve">Prefer role/label/testid locators (getByRole/getByLabel/data-testid).</x:t>
        </x:is>
      </x:c>
      <x:c r="J2" s="3" t="inlineStr">
        <x:is>
          <x:t xml:space="preserve">Replace CSS chains with semantic locators; add stable test ids where needed.</x:t>
        </x:is>
      </x:c>
      <x:c r="K2" s="3" t="inlineStr">
        <x:is>
          <x:t xml:space="preserve">Bad: page.locator('div:nth-child(2) &gt; .btn.primary')
Good: page.getByRole('button', { name: /sign in/i })</x:t>
        </x:is>
      </x:c>
      <x:c r="L2" s="3" t="inlineStr">
        <x:is>
          <x:t xml:space="preserve">Lint rule / review: no nth-child/deep CSS except as last resort.</x:t>
        </x:is>
      </x:c>
      <x:c r="M2" s="3" t="inlineStr">
        <x:is>
          <x:t xml:space="preserve">Use Playwright Codegen as a start, then refactor to roles.</x:t>
        </x:is>
      </x:c>
      <x:c r="N2" s="3" t="str">
        <x:f>B2&amp;"|"&amp;C2&amp;"|"&amp;E2</x:f>
        <x:v>Playwright|Selectors &amp; Locators|High</x:v>
      </x:c>
      <x:c r="O2" s="3" t="inlineStr">
        <x:is>
          <x:t xml:space="preserve">Low Trust</x:t>
        </x:is>
      </x:c>
      <x:c r="P2" s="3" t="inlineStr">
        <x:is>
          <x:t xml:space="preserve">Recurring</x:t>
        </x:is>
      </x:c>
      <x:c r="Q2" s="3" t="inlineStr">
        <x:is>
          <x:t xml:space="preserve">UI</x:t>
        </x:is>
      </x:c>
      <x:c r="R2" s="3" t="inlineStr">
        <x:is>
          <x:t xml:space="preserve">16</x:t>
        </x:is>
      </x:c>
      <x:c r="S2" s="3" t="inlineStr">
        <x:is>
          <x:t xml:space="preserve">Weakens release confidence</x:t>
        </x:is>
      </x:c>
      <x:c r="T2" s="3" t="inlineStr">
        <x:is>
          <x:t xml:space="preserve">No AI</x:t>
        </x:is>
      </x:c>
      <x:c r="U2" s="14" t="n">
        <x:f>IFERROR(VLOOKUP(C2,Pricing!$A$2:$B$12,2,FALSE),"")</x:f>
        <x:v>2.5</x:v>
      </x:c>
      <x:c r="V2" s="15" t="n">
        <x:f>IFERROR(VLOOKUP(E2,Pricing!$G$2:$H$4,2,FALSE),"")</x:f>
        <x:v>1.5</x:v>
      </x:c>
      <x:c r="W2" s="15" t="n">
        <x:f>IFERROR(VLOOKUP(P2,Pricing!$J$2:$K$4,2,FALSE),"")</x:f>
        <x:v>1</x:v>
      </x:c>
      <x:c r="X2" s="15" t="n">
        <x:f>IFERROR(VLOOKUP(B2,Pricing!$D$2:$E$5,2,FALSE),"")</x:f>
        <x:v>1</x:v>
      </x:c>
      <x:c r="Y2" s="14" t="n">
        <x:f>IFERROR(U2*V2*W2*X2,"")</x:f>
        <x:v>3.75</x:v>
      </x:c>
      <x:c r="Z2" s="16" t="n">
        <x:f>Pricing!$M$2</x:f>
        <x:v>215</x:v>
      </x:c>
      <x:c r="AA2" s="17" t="n">
        <x:f>IFERROR(Y2*Z2,"")</x:f>
        <x:v>806.25</x:v>
      </x:c>
    </x:row>
    <x:row r="3" ht="40.283203125" hidden="0" customHeight="1">
      <x:c r="A3" s="3" t="inlineStr">
        <x:is>
          <x:t xml:space="preserve">Playwright|Waiting &amp; Flakiness|time.sleep / setTimeout-based waits</x:t>
        </x:is>
      </x:c>
      <x:c r="B3" s="3" t="inlineStr">
        <x:is>
          <x:t xml:space="preserve">Playwright</x:t>
        </x:is>
      </x:c>
      <x:c r="C3" s="3" t="inlineStr">
        <x:is>
          <x:t xml:space="preserve">Waiting &amp; Flakiness</x:t>
        </x:is>
      </x:c>
      <x:c r="D3" s="3" t="inlineStr">
        <x:is>
          <x:t xml:space="preserve">time.sleep / setTimeout-based waits</x:t>
        </x:is>
      </x:c>
      <x:c r="E3" s="3" t="inlineStr">
        <x:is>
          <x:t xml:space="preserve">High</x:t>
        </x:is>
      </x:c>
      <x:c r="F3" s="3" t="inlineStr">
        <x:is>
          <x:t xml:space="preserve">Flaky or slow tests; passes locally, fails in CI.</x:t>
        </x:is>
      </x:c>
      <x:c r="G3" s="3" t="inlineStr">
        <x:is>
          <x:t xml:space="preserve">Waiting on time instead of a deterministic signal.</x:t>
        </x:is>
      </x:c>
      <x:c r="H3" s="3" t="inlineStr">
        <x:is>
          <x:t xml:space="preserve">Any fixed sleep &gt; 100ms in PR; repeated timeout tuning.</x:t>
        </x:is>
      </x:c>
      <x:c r="I3" s="3" t="inlineStr">
        <x:is>
          <x:t xml:space="preserve">Wait for conditions/events: toBeVisible, toHaveURL, waitForResponse, expect.poll.</x:t>
        </x:is>
      </x:c>
      <x:c r="J3" s="3" t="inlineStr">
        <x:is>
          <x:t xml:space="preserve">Replace sleeps with explicit waits; add observability to see missing signal.</x:t>
        </x:is>
      </x:c>
      <x:c r="K3" s="3" t="inlineStr">
        <x:is>
          <x:t xml:space="preserve">Bad: await page.waitForTimeout(3000)
Good: await expect(locator).toBeVisible()</x:t>
        </x:is>
      </x:c>
      <x:c r="L3" s="3" t="inlineStr">
        <x:is>
          <x:t xml:space="preserve">CI policy: forbid waitForTimeout except for animations with justification.</x:t>
        </x:is>
      </x:c>
      <x:c r="M3" s="3" t="inlineStr">
        <x:is>
          <x:t xml:space="preserve">Use trace to see what you should wait on.</x:t>
        </x:is>
      </x:c>
      <x:c r="N3" s="3" t="str">
        <x:f>B3&amp;"|"&amp;C3&amp;"|"&amp;E3</x:f>
        <x:v>Playwright|Waiting &amp; Flakiness|High</x:v>
      </x:c>
      <x:c r="O3" s="3" t="inlineStr">
        <x:is>
          <x:t xml:space="preserve">Low Trust</x:t>
        </x:is>
      </x:c>
      <x:c r="P3" s="3" t="inlineStr">
        <x:is>
          <x:t xml:space="preserve">Recurring</x:t>
        </x:is>
      </x:c>
      <x:c r="Q3" s="3" t="inlineStr">
        <x:is>
          <x:t xml:space="preserve">UI</x:t>
        </x:is>
      </x:c>
      <x:c r="R3" s="3" t="inlineStr">
        <x:is>
          <x:t xml:space="preserve">3</x:t>
        </x:is>
      </x:c>
      <x:c r="S3" s="3" t="inlineStr">
        <x:is>
          <x:t xml:space="preserve">Blocks trust</x:t>
        </x:is>
      </x:c>
      <x:c r="T3" s="3" t="inlineStr">
        <x:is>
          <x:t xml:space="preserve">No AI</x:t>
        </x:is>
      </x:c>
      <x:c r="U3" s="14" t="n">
        <x:f>IFERROR(VLOOKUP(C3,Pricing!$A$2:$B$12,2,FALSE),"")</x:f>
        <x:v>3.5</x:v>
      </x:c>
      <x:c r="V3" s="15" t="n">
        <x:f>IFERROR(VLOOKUP(E3,Pricing!$G$2:$H$4,2,FALSE),"")</x:f>
        <x:v>1.5</x:v>
      </x:c>
      <x:c r="W3" s="15" t="n">
        <x:f>IFERROR(VLOOKUP(P3,Pricing!$J$2:$K$4,2,FALSE),"")</x:f>
        <x:v>1</x:v>
      </x:c>
      <x:c r="X3" s="15" t="n">
        <x:f>IFERROR(VLOOKUP(B3,Pricing!$D$2:$E$5,2,FALSE),"")</x:f>
        <x:v>1</x:v>
      </x:c>
      <x:c r="Y3" s="14" t="n">
        <x:f>IFERROR(U3*V3*W3*X3,"")</x:f>
        <x:v>5.25</x:v>
      </x:c>
      <x:c r="Z3" s="16" t="n">
        <x:f>Pricing!$M$2</x:f>
        <x:v>215</x:v>
      </x:c>
      <x:c r="AA3" s="17" t="n">
        <x:f>IFERROR(Y3*Z3,"")</x:f>
        <x:v>1128.75</x:v>
      </x:c>
    </x:row>
    <x:row r="4" ht="40.283203125" hidden="0" customHeight="1">
      <x:c r="A4" s="3" t="inlineStr">
        <x:is>
          <x:t xml:space="preserve">Playwright|Test Isolation &amp; State|Reusing authenticated page for unauthorized tests</x:t>
        </x:is>
      </x:c>
      <x:c r="B4" s="3" t="inlineStr">
        <x:is>
          <x:t xml:space="preserve">Playwright</x:t>
        </x:is>
      </x:c>
      <x:c r="C4" s="3" t="inlineStr">
        <x:is>
          <x:t xml:space="preserve">Test Isolation &amp; State</x:t>
        </x:is>
      </x:c>
      <x:c r="D4" s="3" t="inlineStr">
        <x:is>
          <x:t xml:space="preserve">Reusing authenticated page for unauthorized tests</x:t>
        </x:is>
      </x:c>
      <x:c r="E4" s="3" t="inlineStr">
        <x:is>
          <x:t xml:space="preserve">High</x:t>
        </x:is>
      </x:c>
      <x:c r="F4" s="3" t="inlineStr">
        <x:is>
          <x:t xml:space="preserve">Unauthorized test unexpectedly passes; security regression missed.</x:t>
        </x:is>
      </x:c>
      <x:c r="G4" s="3" t="inlineStr">
        <x:is>
          <x:t xml:space="preserve">storageState applied globally; test uses same context.</x:t>
        </x:is>
      </x:c>
      <x:c r="H4" s="3" t="inlineStr">
        <x:is>
          <x:t xml:space="preserve">Unauthorized test still sees logged-in nav; URL doesn't redirect.</x:t>
        </x:is>
      </x:c>
      <x:c r="I4" s="3" t="inlineStr">
        <x:is>
          <x:t xml:space="preserve">Create a fresh context with storageState undefined; assert redirect/CTA.</x:t>
        </x:is>
      </x:c>
      <x:c r="J4" s="3" t="inlineStr">
        <x:is>
          <x:t xml:space="preserve">Use browser.newContext({ storageState: undefined }) for negative auth tests.</x:t>
        </x:is>
      </x:c>
      <x:c r="K4" s="3" t="inlineStr">
        <x:is>
          <x:t xml:space="preserve">Bad: use injected page (authed)
Good: const ctx = await browser.newContext({ storageState: undefined });</x:t>
        </x:is>
      </x:c>
      <x:c r="L4" s="3" t="inlineStr">
        <x:is>
          <x:t xml:space="preserve">Suite rule: negative auth tests must create clean context.</x:t>
        </x:is>
      </x:c>
      <x:c r="M4" s="3" t="inlineStr">
        <x:is>
          <x:t xml:space="preserve">Common when globalSetup writes storageState.</x:t>
        </x:is>
      </x:c>
      <x:c r="N4" s="3" t="str">
        <x:f>B4&amp;"|"&amp;C4&amp;"|"&amp;E4</x:f>
        <x:v>Playwright|Test Isolation &amp; State|High</x:v>
      </x:c>
      <x:c r="O4" s="3" t="inlineStr">
        <x:is>
          <x:t xml:space="preserve">Low Trust</x:t>
        </x:is>
      </x:c>
      <x:c r="P4" s="3" t="inlineStr">
        <x:is>
          <x:t xml:space="preserve">Systemic</x:t>
        </x:is>
      </x:c>
      <x:c r="Q4" s="3" t="inlineStr">
        <x:is>
          <x:t xml:space="preserve">Auth</x:t>
        </x:is>
      </x:c>
      <x:c r="R4" s="3" t="inlineStr">
        <x:is>
          <x:t xml:space="preserve">5</x:t>
        </x:is>
      </x:c>
      <x:c r="S4" s="3" t="inlineStr">
        <x:is>
          <x:t xml:space="preserve">False green risk</x:t>
        </x:is>
      </x:c>
      <x:c r="T4" s="3" t="inlineStr">
        <x:is>
          <x:t xml:space="preserve">No AI</x:t>
        </x:is>
      </x:c>
      <x:c r="U4" s="14" t="n">
        <x:f>IFERROR(VLOOKUP(C4,Pricing!$A$2:$B$12,2,FALSE),"")</x:f>
        <x:v>5</x:v>
      </x:c>
      <x:c r="V4" s="15" t="n">
        <x:f>IFERROR(VLOOKUP(E4,Pricing!$G$2:$H$4,2,FALSE),"")</x:f>
        <x:v>1.5</x:v>
      </x:c>
      <x:c r="W4" s="15" t="n">
        <x:f>IFERROR(VLOOKUP(P4,Pricing!$J$2:$K$4,2,FALSE),"")</x:f>
        <x:v>1.75</x:v>
      </x:c>
      <x:c r="X4" s="15" t="n">
        <x:f>IFERROR(VLOOKUP(B4,Pricing!$D$2:$E$5,2,FALSE),"")</x:f>
        <x:v>1</x:v>
      </x:c>
      <x:c r="Y4" s="14" t="n">
        <x:f>IFERROR(U4*V4*W4*X4,"")</x:f>
        <x:v>13.125</x:v>
      </x:c>
      <x:c r="Z4" s="16" t="n">
        <x:f>Pricing!$M$2</x:f>
        <x:v>215</x:v>
      </x:c>
      <x:c r="AA4" s="17" t="n">
        <x:f>IFERROR(Y4*Z4,"")</x:f>
        <x:v>2821.875</x:v>
      </x:c>
    </x:row>
    <x:row r="5" ht="40.283203125" hidden="0" customHeight="1">
      <x:c r="A5" s="3" t="inlineStr">
        <x:is>
          <x:t xml:space="preserve">Playwright|Parallelism &amp; Concurrency|Shared mutable globals between tests</x:t>
        </x:is>
      </x:c>
      <x:c r="B5" s="3" t="inlineStr">
        <x:is>
          <x:t xml:space="preserve">Playwright</x:t>
        </x:is>
      </x:c>
      <x:c r="C5" s="3" t="inlineStr">
        <x:is>
          <x:t xml:space="preserve">Parallelism &amp; Concurrency</x:t>
        </x:is>
      </x:c>
      <x:c r="D5" s="3" t="inlineStr">
        <x:is>
          <x:t xml:space="preserve">Shared mutable globals between tests</x:t>
        </x:is>
      </x:c>
      <x:c r="E5" s="3" t="inlineStr">
        <x:is>
          <x:t xml:space="preserve">High</x:t>
        </x:is>
      </x:c>
      <x:c r="F5" s="3" t="inlineStr">
        <x:is>
          <x:t xml:space="preserve">Order-dependent failures; parallel runs collide.</x:t>
        </x:is>
      </x:c>
      <x:c r="G5" s="3" t="inlineStr">
        <x:is>
          <x:t xml:space="preserve">Globals used for slugs/users; tests overwrite each other.</x:t>
        </x:is>
      </x:c>
      <x:c r="H5" s="3" t="inlineStr">
        <x:is>
          <x:t xml:space="preserve">Failures only with --workers&gt;1; inconsistent data.</x:t>
        </x:is>
      </x:c>
      <x:c r="I5" s="3" t="inlineStr">
        <x:is>
          <x:t xml:space="preserve">Generate per-test unique data; use fixtures with per-test scope.</x:t>
        </x:is>
      </x:c>
      <x:c r="J5" s="3" t="inlineStr">
        <x:is>
          <x:t xml:space="preserve">Remove globals; move to fixtures; add unique suffixes.</x:t>
        </x:is>
      </x:c>
      <x:c r="K5" s="3" t="inlineStr">
        <x:is>
          <x:t xml:space="preserve">Bad: let slug; set in test A; used in test B
Good: create per-test article; pass via fixture/return</x:t>
        </x:is>
      </x:c>
      <x:c r="L5" s="3" t="inlineStr">
        <x:is>
          <x:t xml:space="preserve">CI: run with workers&gt;1 and random order periodically.</x:t>
        </x:is>
      </x:c>
      <x:c r="M5" s="3" t="inlineStr">
        <x:is>
          <x:t xml:space="preserve">Use test.describe.configure({ mode: 'parallel' }) deliberately.</x:t>
        </x:is>
      </x:c>
      <x:c r="N5" s="3" t="str">
        <x:f>B5&amp;"|"&amp;C5&amp;"|"&amp;E5</x:f>
        <x:v>Playwright|Parallelism &amp; Concurrency|High</x:v>
      </x:c>
      <x:c r="O5" s="3" t="inlineStr">
        <x:is>
          <x:t xml:space="preserve">Low Trust</x:t>
        </x:is>
      </x:c>
      <x:c r="P5" s="3" t="inlineStr">
        <x:is>
          <x:t xml:space="preserve">Systemic</x:t>
        </x:is>
      </x:c>
      <x:c r="Q5" s="3" t="inlineStr">
        <x:is>
          <x:t xml:space="preserve">Data</x:t>
        </x:is>
      </x:c>
      <x:c r="R5" s="3" t="inlineStr">
        <x:is>
          <x:t xml:space="preserve">5</x:t>
        </x:is>
      </x:c>
      <x:c r="S5" s="3" t="inlineStr">
        <x:is>
          <x:t xml:space="preserve">Blocks trust</x:t>
        </x:is>
      </x:c>
      <x:c r="T5" s="3" t="inlineStr">
        <x:is>
          <x:t xml:space="preserve">No AI</x:t>
        </x:is>
      </x:c>
      <x:c r="U5" s="14" t="n">
        <x:f>IFERROR(VLOOKUP(C5,Pricing!$A$2:$B$12,2,FALSE),"")</x:f>
        <x:v>6</x:v>
      </x:c>
      <x:c r="V5" s="15" t="n">
        <x:f>IFERROR(VLOOKUP(E5,Pricing!$G$2:$H$4,2,FALSE),"")</x:f>
        <x:v>1.5</x:v>
      </x:c>
      <x:c r="W5" s="15" t="n">
        <x:f>IFERROR(VLOOKUP(P5,Pricing!$J$2:$K$4,2,FALSE),"")</x:f>
        <x:v>1.75</x:v>
      </x:c>
      <x:c r="X5" s="15" t="n">
        <x:f>IFERROR(VLOOKUP(B5,Pricing!$D$2:$E$5,2,FALSE),"")</x:f>
        <x:v>1</x:v>
      </x:c>
      <x:c r="Y5" s="14" t="n">
        <x:f>IFERROR(U5*V5*W5*X5,"")</x:f>
        <x:v>15.75</x:v>
      </x:c>
      <x:c r="Z5" s="16" t="n">
        <x:f>Pricing!$M$2</x:f>
        <x:v>215</x:v>
      </x:c>
      <x:c r="AA5" s="17" t="n">
        <x:f>IFERROR(Y5*Z5,"")</x:f>
        <x:v>3386.25</x:v>
      </x:c>
    </x:row>
    <x:row r="6" ht="40.283203125" hidden="0" customHeight="1">
      <x:c r="A6" s="3" t="inlineStr">
        <x:is>
          <x:t xml:space="preserve">Playwright|Fixtures &amp; Setup/Teardown|Shadowing injected fixtures (page/request)</x:t>
        </x:is>
      </x:c>
      <x:c r="B6" s="3" t="inlineStr">
        <x:is>
          <x:t xml:space="preserve">Playwright</x:t>
        </x:is>
      </x:c>
      <x:c r="C6" s="3" t="inlineStr">
        <x:is>
          <x:t xml:space="preserve">Fixtures &amp; Setup/Teardown</x:t>
        </x:is>
      </x:c>
      <x:c r="D6" s="3" t="inlineStr">
        <x:is>
          <x:t xml:space="preserve">Shadowing injected fixtures (page/request)</x:t>
        </x:is>
      </x:c>
      <x:c r="E6" s="3" t="inlineStr">
        <x:is>
          <x:t xml:space="preserve">Medium</x:t>
        </x:is>
      </x:c>
      <x:c r="F6" s="3" t="inlineStr">
        <x:is>
          <x:t xml:space="preserve">Confusing errors: request.newContext not a function; page undefined.</x:t>
        </x:is>
      </x:c>
      <x:c r="G6" s="3" t="inlineStr">
        <x:is>
          <x:t xml:space="preserve">Re-declaring const page/request inside test/fixture.</x:t>
        </x:is>
      </x:c>
      <x:c r="H6" s="3" t="inlineStr">
        <x:is>
          <x:t xml:space="preserve">Search for 'const page =' inside tests with ({ page }) arg.</x:t>
        </x:is>
      </x:c>
      <x:c r="I6" s="3" t="inlineStr">
        <x:is>
          <x:t xml:space="preserve">Use different variable names (e.g., authedPage) or use context.newPage with new name.</x:t>
        </x:is>
      </x:c>
      <x:c r="J6" s="3" t="inlineStr">
        <x:is>
          <x:t xml:space="preserve">Rename locals; enforce lint/PR review; keep fixtures explicit.</x:t>
        </x:is>
      </x:c>
      <x:c r="K6" s="3" t="inlineStr">
        <x:is>
          <x:t xml:space="preserve">Bad: async ({ page }) =&gt; { const page = await ctx.newPage(); }
Good: const authedPage = await ctx.newPage();</x:t>
        </x:is>
      </x:c>
      <x:c r="L6" s="3" t="inlineStr">
        <x:is>
          <x:t xml:space="preserve">Code review checklist: no fixture shadowing.</x:t>
        </x:is>
      </x:c>
      <x:c r="M6" s="3" t="inlineStr">
        <x:is>
          <x:t xml:space="preserve"/>
        </x:is>
      </x:c>
      <x:c r="N6" s="3" t="str">
        <x:f>B6&amp;"|"&amp;C6&amp;"|"&amp;E6</x:f>
        <x:v>Playwright|Fixtures &amp; Setup/Teardown|Medium</x:v>
      </x:c>
      <x:c r="O6" s="3" t="inlineStr">
        <x:is>
          <x:t xml:space="preserve">Medium Trust</x:t>
        </x:is>
      </x:c>
      <x:c r="P6" s="3" t="inlineStr">
        <x:is>
          <x:t xml:space="preserve">Isolated</x:t>
        </x:is>
      </x:c>
      <x:c r="Q6" s="3" t="inlineStr">
        <x:is>
          <x:t xml:space="preserve">Code</x:t>
        </x:is>
      </x:c>
      <x:c r="R6" s="3" t="inlineStr">
        <x:is>
          <x:t xml:space="preserve">7</x:t>
        </x:is>
      </x:c>
      <x:c r="S6" s="3" t="inlineStr">
        <x:is>
          <x:t xml:space="preserve">Slows diagnosis</x:t>
        </x:is>
      </x:c>
      <x:c r="T6" s="3" t="inlineStr">
        <x:is>
          <x:t xml:space="preserve">Some AI</x:t>
        </x:is>
      </x:c>
      <x:c r="U6" s="14" t="n">
        <x:f>IFERROR(VLOOKUP(C6,Pricing!$A$2:$B$12,2,FALSE),"")</x:f>
        <x:v>3</x:v>
      </x:c>
      <x:c r="V6" s="15" t="n">
        <x:f>IFERROR(VLOOKUP(E6,Pricing!$G$2:$H$4,2,FALSE),"")</x:f>
        <x:v>1</x:v>
      </x:c>
      <x:c r="W6" s="15" t="n">
        <x:f>IFERROR(VLOOKUP(P6,Pricing!$J$2:$K$4,2,FALSE),"")</x:f>
        <x:v>0.75</x:v>
      </x:c>
      <x:c r="X6" s="15" t="n">
        <x:f>IFERROR(VLOOKUP(B6,Pricing!$D$2:$E$5,2,FALSE),"")</x:f>
        <x:v>1</x:v>
      </x:c>
      <x:c r="Y6" s="14" t="n">
        <x:f>IFERROR(U6*V6*W6*X6,"")</x:f>
        <x:v>2.25</x:v>
      </x:c>
      <x:c r="Z6" s="16" t="n">
        <x:f>Pricing!$M$2</x:f>
        <x:v>215</x:v>
      </x:c>
      <x:c r="AA6" s="17" t="n">
        <x:f>IFERROR(Y6*Z6,"")</x:f>
        <x:v>483.75</x:v>
      </x:c>
    </x:row>
    <x:row r="7" ht="40.283203125" hidden="0" customHeight="1">
      <x:c r="A7" s="3" t="inlineStr">
        <x:is>
          <x:t xml:space="preserve">Playwright|Network &amp; API Mocking|Over-mocking (tests pass with unrealistic mocks)</x:t>
        </x:is>
      </x:c>
      <x:c r="B7" s="3" t="inlineStr">
        <x:is>
          <x:t xml:space="preserve">Playwright</x:t>
        </x:is>
      </x:c>
      <x:c r="C7" s="3" t="inlineStr">
        <x:is>
          <x:t xml:space="preserve">Network &amp; API Mocking</x:t>
        </x:is>
      </x:c>
      <x:c r="D7" s="3" t="inlineStr">
        <x:is>
          <x:t xml:space="preserve">Over-mocking (tests pass with unrealistic mocks)</x:t>
        </x:is>
      </x:c>
      <x:c r="E7" s="3" t="inlineStr">
        <x:is>
          <x:t xml:space="preserve">Medium</x:t>
        </x:is>
      </x:c>
      <x:c r="F7" s="3" t="inlineStr">
        <x:is>
          <x:t xml:space="preserve">False greens; prod fails while tests pass.</x:t>
        </x:is>
      </x:c>
      <x:c r="G7" s="3" t="inlineStr">
        <x:is>
          <x:t xml:space="preserve">Mocks drift from API contract; missing integration coverage.</x:t>
        </x:is>
      </x:c>
      <x:c r="H7" s="3" t="inlineStr">
        <x:is>
          <x:t xml:space="preserve">High mock coverage; low real API coverage; incidents not caught.</x:t>
        </x:is>
      </x:c>
      <x:c r="I7" s="3" t="inlineStr">
        <x:is>
          <x:t xml:space="preserve">Use contract-based mocks + at least one real path; validate schemas.</x:t>
        </x:is>
      </x:c>
      <x:c r="J7" s="3" t="inlineStr">
        <x:is>
          <x:t xml:space="preserve">Add contract tests; restrict mocks to third-party/unreliable deps.</x:t>
        </x:is>
      </x:c>
      <x:c r="K7" s="3" t="inlineStr">
        <x:is>
          <x:t xml:space="preserve">Bad: mock /api/articles always 200
Good: use live API in smoke + schema-validated fixtures</x:t>
        </x:is>
      </x:c>
      <x:c r="L7" s="3" t="inlineStr">
        <x:is>
          <x:t xml:space="preserve">Policy: smoke/regression must include real API path; mocks allowed for 3rd-party only.</x:t>
        </x:is>
      </x:c>
      <x:c r="M7" s="3" t="inlineStr">
        <x:is>
          <x:t xml:space="preserve"/>
        </x:is>
      </x:c>
      <x:c r="N7" s="3" t="str">
        <x:f>B7&amp;"|"&amp;C7&amp;"|"&amp;E7</x:f>
        <x:v>Playwright|Network &amp; API Mocking|Medium</x:v>
      </x:c>
      <x:c r="O7" s="3" t="inlineStr">
        <x:is>
          <x:t xml:space="preserve">Medium Trust</x:t>
        </x:is>
      </x:c>
      <x:c r="P7" s="3" t="inlineStr">
        <x:is>
          <x:t xml:space="preserve">Systemic</x:t>
        </x:is>
      </x:c>
      <x:c r="Q7" s="3" t="inlineStr">
        <x:is>
          <x:t xml:space="preserve">API</x:t>
        </x:is>
      </x:c>
      <x:c r="R7" s="3" t="inlineStr">
        <x:is>
          <x:t xml:space="preserve">9</x:t>
        </x:is>
      </x:c>
      <x:c r="S7" s="3" t="inlineStr">
        <x:is>
          <x:t xml:space="preserve">False green risk</x:t>
        </x:is>
      </x:c>
      <x:c r="T7" s="3" t="inlineStr">
        <x:is>
          <x:t xml:space="preserve">No AI</x:t>
        </x:is>
      </x:c>
      <x:c r="U7" s="14" t="n">
        <x:f>IFERROR(VLOOKUP(C7,Pricing!$A$2:$B$12,2,FALSE),"")</x:f>
        <x:v>4.5</x:v>
      </x:c>
      <x:c r="V7" s="15" t="n">
        <x:f>IFERROR(VLOOKUP(E7,Pricing!$G$2:$H$4,2,FALSE),"")</x:f>
        <x:v>1</x:v>
      </x:c>
      <x:c r="W7" s="15" t="n">
        <x:f>IFERROR(VLOOKUP(P7,Pricing!$J$2:$K$4,2,FALSE),"")</x:f>
        <x:v>1.75</x:v>
      </x:c>
      <x:c r="X7" s="15" t="n">
        <x:f>IFERROR(VLOOKUP(B7,Pricing!$D$2:$E$5,2,FALSE),"")</x:f>
        <x:v>1</x:v>
      </x:c>
      <x:c r="Y7" s="14" t="n">
        <x:f>IFERROR(U7*V7*W7*X7,"")</x:f>
        <x:v>7.875</x:v>
      </x:c>
      <x:c r="Z7" s="16" t="n">
        <x:f>Pricing!$M$2</x:f>
        <x:v>215</x:v>
      </x:c>
      <x:c r="AA7" s="17" t="n">
        <x:f>IFERROR(Y7*Z7,"")</x:f>
        <x:v>1693.125</x:v>
      </x:c>
    </x:row>
    <x:row r="8" ht="40.283203125" hidden="0" customHeight="1">
      <x:c r="A8" s="3" t="inlineStr">
        <x:is>
          <x:t xml:space="preserve">Playwright|Reporting &amp; Debuggability|No trace/screenshot on failure</x:t>
        </x:is>
      </x:c>
      <x:c r="B8" s="3" t="inlineStr">
        <x:is>
          <x:t xml:space="preserve">Playwright</x:t>
        </x:is>
      </x:c>
      <x:c r="C8" s="3" t="inlineStr">
        <x:is>
          <x:t xml:space="preserve">Reporting &amp; Debuggability</x:t>
        </x:is>
      </x:c>
      <x:c r="D8" s="3" t="inlineStr">
        <x:is>
          <x:t xml:space="preserve">No trace/screenshot on failure</x:t>
        </x:is>
      </x:c>
      <x:c r="E8" s="3" t="inlineStr">
        <x:is>
          <x:t xml:space="preserve">Medium</x:t>
        </x:is>
      </x:c>
      <x:c r="F8" s="3" t="inlineStr">
        <x:is>
          <x:t xml:space="preserve">Hard to debug CI failures; reruns required.</x:t>
        </x:is>
      </x:c>
      <x:c r="G8" s="3" t="inlineStr">
        <x:is>
          <x:t xml:space="preserve">Missing trace/video/screenshot retention config.</x:t>
        </x:is>
      </x:c>
      <x:c r="H8" s="3" t="inlineStr">
        <x:is>
          <x:t xml:space="preserve">CI failures with minimal logs.</x:t>
        </x:is>
      </x:c>
      <x:c r="I8" s="3" t="inlineStr">
        <x:is>
          <x:t xml:space="preserve">Enable trace/video/screenshot retain-on-failure; add dumpDebug helper.</x:t>
        </x:is>
      </x:c>
      <x:c r="J8" s="3" t="inlineStr">
        <x:is>
          <x:t xml:space="preserve">Update config and global hooks; attach artifacts.</x:t>
        </x:is>
      </x:c>
      <x:c r="K8" s="3" t="inlineStr">
        <x:is>
          <x:t xml:space="preserve">Good: use: { trace:'retain-on-failure', screenshot:'only-on-failure', video:'retain-on-failure' }</x:t>
        </x:is>
      </x:c>
      <x:c r="L8" s="3" t="inlineStr">
        <x:is>
          <x:t xml:space="preserve">CI guardrail: artifacts required for failing jobs.</x:t>
        </x:is>
      </x:c>
      <x:c r="M8" s="3" t="inlineStr">
        <x:is>
          <x:t xml:space="preserve"/>
        </x:is>
      </x:c>
      <x:c r="N8" s="3" t="str">
        <x:f>B8&amp;"|"&amp;C8&amp;"|"&amp;E8</x:f>
        <x:v>Playwright|Reporting &amp; Debuggability|Medium</x:v>
      </x:c>
      <x:c r="O8" s="3" t="inlineStr">
        <x:is>
          <x:t xml:space="preserve">Low Trust</x:t>
        </x:is>
      </x:c>
      <x:c r="P8" s="3" t="inlineStr">
        <x:is>
          <x:t xml:space="preserve">Systemic</x:t>
        </x:is>
      </x:c>
      <x:c r="Q8" s="3" t="inlineStr">
        <x:is>
          <x:t xml:space="preserve">CI</x:t>
        </x:is>
      </x:c>
      <x:c r="R8" s="3" t="inlineStr">
        <x:is>
          <x:t xml:space="preserve">3</x:t>
        </x:is>
      </x:c>
      <x:c r="S8" s="3" t="inlineStr">
        <x:is>
          <x:t xml:space="preserve">Slows diagnosis</x:t>
        </x:is>
      </x:c>
      <x:c r="T8" s="3" t="inlineStr">
        <x:is>
          <x:t xml:space="preserve">No AI</x:t>
        </x:is>
      </x:c>
      <x:c r="U8" s="14" t="n">
        <x:f>IFERROR(VLOOKUP(C8,Pricing!$A$2:$B$12,2,FALSE),"")</x:f>
        <x:v>2</x:v>
      </x:c>
      <x:c r="V8" s="15" t="n">
        <x:f>IFERROR(VLOOKUP(E8,Pricing!$G$2:$H$4,2,FALSE),"")</x:f>
        <x:v>1</x:v>
      </x:c>
      <x:c r="W8" s="15" t="n">
        <x:f>IFERROR(VLOOKUP(P8,Pricing!$J$2:$K$4,2,FALSE),"")</x:f>
        <x:v>1.75</x:v>
      </x:c>
      <x:c r="X8" s="15" t="n">
        <x:f>IFERROR(VLOOKUP(B8,Pricing!$D$2:$E$5,2,FALSE),"")</x:f>
        <x:v>1</x:v>
      </x:c>
      <x:c r="Y8" s="14" t="n">
        <x:f>IFERROR(U8*V8*W8*X8,"")</x:f>
        <x:v>3.5</x:v>
      </x:c>
      <x:c r="Z8" s="16" t="n">
        <x:f>Pricing!$M$2</x:f>
        <x:v>215</x:v>
      </x:c>
      <x:c r="AA8" s="17" t="n">
        <x:f>IFERROR(Y8*Z8,"")</x:f>
        <x:v>752.5</x:v>
      </x:c>
    </x:row>
    <x:row r="9" ht="40.283203125" hidden="0" customHeight="1">
      <x:c r="A9" s="3" t="inlineStr">
        <x:is>
          <x:t xml:space="preserve">Playwright|Performance &amp; Timeouts|Raising timeouts instead of fixing waits</x:t>
        </x:is>
      </x:c>
      <x:c r="B9" s="3" t="inlineStr">
        <x:is>
          <x:t xml:space="preserve">Playwright</x:t>
        </x:is>
      </x:c>
      <x:c r="C9" s="3" t="inlineStr">
        <x:is>
          <x:t xml:space="preserve">Performance &amp; Timeouts</x:t>
        </x:is>
      </x:c>
      <x:c r="D9" s="3" t="inlineStr">
        <x:is>
          <x:t xml:space="preserve">Raising timeouts instead of fixing waits</x:t>
        </x:is>
      </x:c>
      <x:c r="E9" s="3" t="inlineStr">
        <x:is>
          <x:t xml:space="preserve">Medium</x:t>
        </x:is>
      </x:c>
      <x:c r="F9" s="3" t="inlineStr">
        <x:is>
          <x:t xml:space="preserve">Suite gets slower; still flaky under load.</x:t>
        </x:is>
      </x:c>
      <x:c r="G9" s="3" t="inlineStr">
        <x:is>
          <x:t xml:space="preserve">Masking sync issues; no deterministic readiness checks.</x:t>
        </x:is>
      </x:c>
      <x:c r="H9" s="3" t="inlineStr">
        <x:is>
          <x:t xml:space="preserve">Timeouts increased repeatedly; same test still flakes.</x:t>
        </x:is>
      </x:c>
      <x:c r="I9" s="3" t="inlineStr">
        <x:is>
          <x:t xml:space="preserve">Use event-driven waits and app readiness signals.</x:t>
        </x:is>
      </x:c>
      <x:c r="J9" s="3" t="inlineStr">
        <x:is>
          <x:t xml:space="preserve">Identify missing wait; add waitForResponse/URL/locator; reduce timeouts after.</x:t>
        </x:is>
      </x:c>
      <x:c r="K9" s="3" t="inlineStr">
        <x:is>
          <x:t xml:space="preserve">Bad: test.setTimeout(120000)
Good: await page.waitForResponse(r=&gt;r.url().includes('/api/articles'))</x:t>
        </x:is>
      </x:c>
      <x:c r="L9" s="3" t="inlineStr">
        <x:is>
          <x:t xml:space="preserve">Policy: timeout increases require root cause &amp; trace evidence.</x:t>
        </x:is>
      </x:c>
      <x:c r="M9" s="3" t="inlineStr">
        <x:is>
          <x:t xml:space="preserve"/>
        </x:is>
      </x:c>
      <x:c r="N9" s="3" t="str">
        <x:f>B9&amp;"|"&amp;C9&amp;"|"&amp;E9</x:f>
        <x:v>Playwright|Performance &amp; Timeouts|Medium</x:v>
      </x:c>
      <x:c r="O9" s="3" t="inlineStr">
        <x:is>
          <x:t xml:space="preserve">Medium Trust</x:t>
        </x:is>
      </x:c>
      <x:c r="P9" s="3" t="inlineStr">
        <x:is>
          <x:t xml:space="preserve">Recurring</x:t>
        </x:is>
      </x:c>
      <x:c r="Q9" s="3" t="inlineStr">
        <x:is>
          <x:t xml:space="preserve">UI</x:t>
        </x:is>
      </x:c>
      <x:c r="R9" s="3" t="inlineStr">
        <x:is>
          <x:t xml:space="preserve">3</x:t>
        </x:is>
      </x:c>
      <x:c r="S9" s="3" t="inlineStr">
        <x:is>
          <x:t xml:space="preserve">Weakens release confidence</x:t>
        </x:is>
      </x:c>
      <x:c r="T9" s="3" t="inlineStr">
        <x:is>
          <x:t xml:space="preserve">No AI</x:t>
        </x:is>
      </x:c>
      <x:c r="U9" s="14" t="n">
        <x:f>IFERROR(VLOOKUP(C9,Pricing!$A$2:$B$12,2,FALSE),"")</x:f>
        <x:v>3</x:v>
      </x:c>
      <x:c r="V9" s="15" t="n">
        <x:f>IFERROR(VLOOKUP(E9,Pricing!$G$2:$H$4,2,FALSE),"")</x:f>
        <x:v>1</x:v>
      </x:c>
      <x:c r="W9" s="15" t="n">
        <x:f>IFERROR(VLOOKUP(P9,Pricing!$J$2:$K$4,2,FALSE),"")</x:f>
        <x:v>1</x:v>
      </x:c>
      <x:c r="X9" s="15" t="n">
        <x:f>IFERROR(VLOOKUP(B9,Pricing!$D$2:$E$5,2,FALSE),"")</x:f>
        <x:v>1</x:v>
      </x:c>
      <x:c r="Y9" s="14" t="n">
        <x:f>IFERROR(U9*V9*W9*X9,"")</x:f>
        <x:v>3</x:v>
      </x:c>
      <x:c r="Z9" s="16" t="n">
        <x:f>Pricing!$M$2</x:f>
        <x:v>215</x:v>
      </x:c>
      <x:c r="AA9" s="17" t="n">
        <x:f>IFERROR(Y9*Z9,"")</x:f>
        <x:v>645</x:v>
      </x:c>
    </x:row>
    <x:row r="10" ht="40.283203125" hidden="0" customHeight="1">
      <x:c r="A10" s="3" t="inlineStr">
        <x:is>
          <x:t xml:space="preserve">Playwright|Code Structure &amp; Maintainability|Test logic duplicated across specs</x:t>
        </x:is>
      </x:c>
      <x:c r="B10" s="3" t="inlineStr">
        <x:is>
          <x:t xml:space="preserve">Playwright</x:t>
        </x:is>
      </x:c>
      <x:c r="C10" s="3" t="inlineStr">
        <x:is>
          <x:t xml:space="preserve">Code Structure &amp; Maintainability</x:t>
        </x:is>
      </x:c>
      <x:c r="D10" s="3" t="inlineStr">
        <x:is>
          <x:t xml:space="preserve">Test logic duplicated across specs</x:t>
        </x:is>
      </x:c>
      <x:c r="E10" s="3" t="inlineStr">
        <x:is>
          <x:t xml:space="preserve">Low</x:t>
        </x:is>
      </x:c>
      <x:c r="F10" s="3" t="inlineStr">
        <x:is>
          <x:t xml:space="preserve">Changes require editing many tests; inconsistent behavior.</x:t>
        </x:is>
      </x:c>
      <x:c r="G10" s="3" t="inlineStr">
        <x:is>
          <x:t xml:space="preserve">No page objects/util helpers; copy-pasted flows.</x:t>
        </x:is>
      </x:c>
      <x:c r="H10" s="3" t="inlineStr">
        <x:is>
          <x:t xml:space="preserve">Same 10 lines appear in 5+ files.</x:t>
        </x:is>
      </x:c>
      <x:c r="I10" s="3" t="inlineStr">
        <x:is>
          <x:t xml:space="preserve">Use page objects + helper utilities; keep assertions in tests.</x:t>
        </x:is>
      </x:c>
      <x:c r="J10" s="3" t="inlineStr">
        <x:is>
          <x:t xml:space="preserve">Extract common flows; keep test-specific assertions local.</x:t>
        </x:is>
      </x:c>
      <x:c r="K10" s="3" t="inlineStr">
        <x:is>
          <x:t xml:space="preserve">Bad: repeated login steps
Good: LoginPage.login() helper + expectLoggedInNav()</x:t>
        </x:is>
      </x:c>
      <x:c r="L10" s="3" t="inlineStr">
        <x:is>
          <x:t xml:space="preserve">Code review: DRY for flows, not assertions.</x:t>
        </x:is>
      </x:c>
      <x:c r="M10" s="3" t="inlineStr">
        <x:is>
          <x:t xml:space="preserve"/>
        </x:is>
      </x:c>
      <x:c r="N10" s="3" t="str">
        <x:f>B10&amp;"|"&amp;C10&amp;"|"&amp;E10</x:f>
        <x:v>Playwright|Code Structure &amp; Maintainability|Low</x:v>
      </x:c>
      <x:c r="O10" s="3" t="inlineStr">
        <x:is>
          <x:t xml:space="preserve">High Trust</x:t>
        </x:is>
      </x:c>
      <x:c r="P10" s="3" t="inlineStr">
        <x:is>
          <x:t xml:space="preserve">Recurring</x:t>
        </x:is>
      </x:c>
      <x:c r="Q10" s="3" t="inlineStr">
        <x:is>
          <x:t xml:space="preserve">Code</x:t>
        </x:is>
      </x:c>
      <x:c r="R10" s="3" t="inlineStr">
        <x:is>
          <x:t xml:space="preserve">8</x:t>
        </x:is>
      </x:c>
      <x:c r="S10" s="3" t="inlineStr">
        <x:is>
          <x:t xml:space="preserve">Scalability risk only</x:t>
        </x:is>
      </x:c>
      <x:c r="T10" s="3" t="inlineStr">
        <x:is>
          <x:t xml:space="preserve">Some AI</x:t>
        </x:is>
      </x:c>
      <x:c r="U10" s="14" t="n">
        <x:f>IFERROR(VLOOKUP(C10,Pricing!$A$2:$B$12,2,FALSE),"")</x:f>
        <x:v>4</x:v>
      </x:c>
      <x:c r="V10" s="15" t="n">
        <x:f>IFERROR(VLOOKUP(E10,Pricing!$G$2:$H$4,2,FALSE),"")</x:f>
        <x:v>0.75</x:v>
      </x:c>
      <x:c r="W10" s="15" t="n">
        <x:f>IFERROR(VLOOKUP(P10,Pricing!$J$2:$K$4,2,FALSE),"")</x:f>
        <x:v>1</x:v>
      </x:c>
      <x:c r="X10" s="15" t="n">
        <x:f>IFERROR(VLOOKUP(B10,Pricing!$D$2:$E$5,2,FALSE),"")</x:f>
        <x:v>1</x:v>
      </x:c>
      <x:c r="Y10" s="14" t="n">
        <x:f>IFERROR(U10*V10*W10*X10,"")</x:f>
        <x:v>3</x:v>
      </x:c>
      <x:c r="Z10" s="16" t="n">
        <x:f>Pricing!$M$2</x:f>
        <x:v>215</x:v>
      </x:c>
      <x:c r="AA10" s="17" t="n">
        <x:f>IFERROR(Y10*Z10,"")</x:f>
        <x:v>645</x:v>
      </x:c>
    </x:row>
    <x:row r="11" ht="40.283203125" hidden="0" customHeight="1">
      <x:c r="A11" s="3" t="inlineStr">
        <x:is>
          <x:t xml:space="preserve">pytest|Fixtures &amp; Setup/Teardown|Using global state instead of fixtures</x:t>
        </x:is>
      </x:c>
      <x:c r="B11" s="3" t="inlineStr">
        <x:is>
          <x:t xml:space="preserve">pytest</x:t>
        </x:is>
      </x:c>
      <x:c r="C11" s="3" t="inlineStr">
        <x:is>
          <x:t xml:space="preserve">Fixtures &amp; Setup/Teardown</x:t>
        </x:is>
      </x:c>
      <x:c r="D11" s="3" t="inlineStr">
        <x:is>
          <x:t xml:space="preserve">Using global state instead of fixtures</x:t>
        </x:is>
      </x:c>
      <x:c r="E11" s="3" t="inlineStr">
        <x:is>
          <x:t xml:space="preserve">High</x:t>
        </x:is>
      </x:c>
      <x:c r="F11" s="3" t="inlineStr">
        <x:is>
          <x:t xml:space="preserve">Tests fail depending on order; hard to parallelize.</x:t>
        </x:is>
      </x:c>
      <x:c r="G11" s="3" t="inlineStr">
        <x:is>
          <x:t xml:space="preserve">Module-level globals mutated across tests.</x:t>
        </x:is>
      </x:c>
      <x:c r="H11" s="3" t="inlineStr">
        <x:is>
          <x:t xml:space="preserve">Fails with -k or random order; flaky under xdist.</x:t>
        </x:is>
      </x:c>
      <x:c r="I11" s="3" t="inlineStr">
        <x:is>
          <x:t xml:space="preserve">Use function-scoped fixtures; return resources explicitly.</x:t>
        </x:is>
      </x:c>
      <x:c r="J11" s="3" t="inlineStr">
        <x:is>
          <x:t xml:space="preserve">Move global state into fixtures; pass as args; reset state each test.</x:t>
        </x:is>
      </x:c>
      <x:c r="K11" s="3" t="inlineStr">
        <x:is>
          <x:t xml:space="preserve">Bad: global client reused/mutated
Good: @pytest.fixture() def client(): return Client()</x:t>
        </x:is>
      </x:c>
      <x:c r="L11" s="3" t="inlineStr">
        <x:is>
          <x:t xml:space="preserve">Run with pytest-randomly / xdist in CI.</x:t>
        </x:is>
      </x:c>
      <x:c r="M11" s="3" t="inlineStr">
        <x:is>
          <x:t xml:space="preserve"/>
        </x:is>
      </x:c>
      <x:c r="N11" s="3" t="str">
        <x:f>B11&amp;"|"&amp;C11&amp;"|"&amp;E11</x:f>
        <x:v>pytest|Fixtures &amp; Setup/Teardown|High</x:v>
      </x:c>
      <x:c r="O11" s="3" t="inlineStr">
        <x:is>
          <x:t xml:space="preserve">Low Trust</x:t>
        </x:is>
      </x:c>
      <x:c r="P11" s="3" t="inlineStr">
        <x:is>
          <x:t xml:space="preserve">Systemic</x:t>
        </x:is>
      </x:c>
      <x:c r="Q11" s="3" t="inlineStr">
        <x:is>
          <x:t xml:space="preserve">Data</x:t>
        </x:is>
      </x:c>
      <x:c r="R11" s="3" t="inlineStr">
        <x:is>
          <x:t xml:space="preserve">5</x:t>
        </x:is>
      </x:c>
      <x:c r="S11" s="3" t="inlineStr">
        <x:is>
          <x:t xml:space="preserve">Blocks trust</x:t>
        </x:is>
      </x:c>
      <x:c r="T11" s="3" t="inlineStr">
        <x:is>
          <x:t xml:space="preserve">No AI</x:t>
        </x:is>
      </x:c>
      <x:c r="U11" s="14" t="n">
        <x:f>IFERROR(VLOOKUP(C11,Pricing!$A$2:$B$12,2,FALSE),"")</x:f>
        <x:v>3</x:v>
      </x:c>
      <x:c r="V11" s="15" t="n">
        <x:f>IFERROR(VLOOKUP(E11,Pricing!$G$2:$H$4,2,FALSE),"")</x:f>
        <x:v>1.5</x:v>
      </x:c>
      <x:c r="W11" s="15" t="n">
        <x:f>IFERROR(VLOOKUP(P11,Pricing!$J$2:$K$4,2,FALSE),"")</x:f>
        <x:v>1.75</x:v>
      </x:c>
      <x:c r="X11" s="15" t="n">
        <x:f>IFERROR(VLOOKUP(B11,Pricing!$D$2:$E$5,2,FALSE),"")</x:f>
        <x:v>0.9</x:v>
      </x:c>
      <x:c r="Y11" s="14" t="n">
        <x:f>IFERROR(U11*V11*W11*X11,"")</x:f>
        <x:v>7.0875</x:v>
      </x:c>
      <x:c r="Z11" s="16" t="n">
        <x:f>Pricing!$M$2</x:f>
        <x:v>215</x:v>
      </x:c>
      <x:c r="AA11" s="17" t="n">
        <x:f>IFERROR(Y11*Z11,"")</x:f>
        <x:v>1523.8125</x:v>
      </x:c>
    </x:row>
    <x:row r="12" ht="40.283203125" hidden="0" customHeight="1">
      <x:c r="A12" s="3" t="inlineStr">
        <x:is>
          <x:t xml:space="preserve">pytest|Waiting &amp; Flakiness|Sleeping for async readiness</x:t>
        </x:is>
      </x:c>
      <x:c r="B12" s="3" t="inlineStr">
        <x:is>
          <x:t xml:space="preserve">pytest</x:t>
        </x:is>
      </x:c>
      <x:c r="C12" s="3" t="inlineStr">
        <x:is>
          <x:t xml:space="preserve">Waiting &amp; Flakiness</x:t>
        </x:is>
      </x:c>
      <x:c r="D12" s="3" t="inlineStr">
        <x:is>
          <x:t xml:space="preserve">Sleeping for async readiness</x:t>
        </x:is>
      </x:c>
      <x:c r="E12" s="3" t="inlineStr">
        <x:is>
          <x:t xml:space="preserve">High</x:t>
        </x:is>
      </x:c>
      <x:c r="F12" s="3" t="inlineStr">
        <x:is>
          <x:t xml:space="preserve">Flaky timing; long runtimes.</x:t>
        </x:is>
      </x:c>
      <x:c r="G12" s="3" t="inlineStr">
        <x:is>
          <x:t xml:space="preserve">Polling via sleep vs proper waits/event hooks.</x:t>
        </x:is>
      </x:c>
      <x:c r="H12" s="3" t="inlineStr">
        <x:is>
          <x:t xml:space="preserve">Sleep calls in tests; nondeterministic failures.</x:t>
        </x:is>
      </x:c>
      <x:c r="I12" s="3" t="inlineStr">
        <x:is>
          <x:t xml:space="preserve">Use retry/poll helpers, explicit waits, or proper async APIs.</x:t>
        </x:is>
      </x:c>
      <x:c r="J12" s="3" t="inlineStr">
        <x:is>
          <x:t xml:space="preserve">Replace sleep with polling until condition or timeout; instrument system.</x:t>
        </x:is>
      </x:c>
      <x:c r="K12" s="3" t="inlineStr">
        <x:is>
          <x:t xml:space="preserve">Bad: time.sleep(3)
Good: assert eventually(lambda: svc.ready())</x:t>
        </x:is>
      </x:c>
      <x:c r="L12" s="3" t="inlineStr">
        <x:is>
          <x:t xml:space="preserve">Policy: forbid sleep in tests unless justified and minimal.</x:t>
        </x:is>
      </x:c>
      <x:c r="M12" s="3" t="inlineStr">
        <x:is>
          <x:t xml:space="preserve"/>
        </x:is>
      </x:c>
      <x:c r="N12" s="3" t="str">
        <x:f>B12&amp;"|"&amp;C12&amp;"|"&amp;E12</x:f>
        <x:v>pytest|Waiting &amp; Flakiness|High</x:v>
      </x:c>
      <x:c r="O12" s="3" t="inlineStr">
        <x:is>
          <x:t xml:space="preserve">Low Trust</x:t>
        </x:is>
      </x:c>
      <x:c r="P12" s="3" t="inlineStr">
        <x:is>
          <x:t xml:space="preserve">Recurring</x:t>
        </x:is>
      </x:c>
      <x:c r="Q12" s="3" t="inlineStr">
        <x:is>
          <x:t xml:space="preserve">API</x:t>
        </x:is>
      </x:c>
      <x:c r="R12" s="3" t="inlineStr">
        <x:is>
          <x:t xml:space="preserve">9</x:t>
        </x:is>
      </x:c>
      <x:c r="S12" s="3" t="inlineStr">
        <x:is>
          <x:t xml:space="preserve">Blocks trust</x:t>
        </x:is>
      </x:c>
      <x:c r="T12" s="3" t="inlineStr">
        <x:is>
          <x:t xml:space="preserve">No AI</x:t>
        </x:is>
      </x:c>
      <x:c r="U12" s="14" t="n">
        <x:f>IFERROR(VLOOKUP(C12,Pricing!$A$2:$B$12,2,FALSE),"")</x:f>
        <x:v>3.5</x:v>
      </x:c>
      <x:c r="V12" s="15" t="n">
        <x:f>IFERROR(VLOOKUP(E12,Pricing!$G$2:$H$4,2,FALSE),"")</x:f>
        <x:v>1.5</x:v>
      </x:c>
      <x:c r="W12" s="15" t="n">
        <x:f>IFERROR(VLOOKUP(P12,Pricing!$J$2:$K$4,2,FALSE),"")</x:f>
        <x:v>1</x:v>
      </x:c>
      <x:c r="X12" s="15" t="n">
        <x:f>IFERROR(VLOOKUP(B12,Pricing!$D$2:$E$5,2,FALSE),"")</x:f>
        <x:v>0.9</x:v>
      </x:c>
      <x:c r="Y12" s="14" t="n">
        <x:f>IFERROR(U12*V12*W12*X12,"")</x:f>
        <x:v>4.7250000000000005</x:v>
      </x:c>
      <x:c r="Z12" s="16" t="n">
        <x:f>Pricing!$M$2</x:f>
        <x:v>215</x:v>
      </x:c>
      <x:c r="AA12" s="17" t="n">
        <x:f>IFERROR(Y12*Z12,"")</x:f>
        <x:v>1015.8750000000001</x:v>
      </x:c>
    </x:row>
    <x:row r="13" ht="40.283203125" hidden="0" customHeight="1">
      <x:c r="A13" s="3" t="inlineStr">
        <x:is>
          <x:t xml:space="preserve">pytest|Assertions &amp; Oracles|Asserting only that code ran (no output validation)</x:t>
        </x:is>
      </x:c>
      <x:c r="B13" s="3" t="inlineStr">
        <x:is>
          <x:t xml:space="preserve">pytest</x:t>
        </x:is>
      </x:c>
      <x:c r="C13" s="3" t="inlineStr">
        <x:is>
          <x:t xml:space="preserve">Assertions &amp; Oracles</x:t>
        </x:is>
      </x:c>
      <x:c r="D13" s="3" t="inlineStr">
        <x:is>
          <x:t xml:space="preserve">Asserting only that code ran (no output validation)</x:t>
        </x:is>
      </x:c>
      <x:c r="E13" s="3" t="inlineStr">
        <x:is>
          <x:t xml:space="preserve">High</x:t>
        </x:is>
      </x:c>
      <x:c r="F13" s="3" t="inlineStr">
        <x:is>
          <x:t xml:space="preserve">False greens; regressions slip through.</x:t>
        </x:is>
      </x:c>
      <x:c r="G13" s="3" t="inlineStr">
        <x:is>
          <x:t xml:space="preserve">Weak test oracle; no checks on state/output.</x:t>
        </x:is>
      </x:c>
      <x:c r="H13" s="3" t="inlineStr">
        <x:is>
          <x:t xml:space="preserve">Tests pass even when feature broken.</x:t>
        </x:is>
      </x:c>
      <x:c r="I13" s="3" t="inlineStr">
        <x:is>
          <x:t xml:space="preserve">Assert meaningful outputs/state transitions and invariants.</x:t>
        </x:is>
      </x:c>
      <x:c r="J13" s="3" t="inlineStr">
        <x:is>
          <x:t xml:space="preserve">Add assertions on result, DB state, emitted events, etc.</x:t>
        </x:is>
      </x:c>
      <x:c r="K13" s="3" t="inlineStr">
        <x:is>
          <x:t xml:space="preserve">Bad: function(); assert True
Good: assert function() == expected</x:t>
        </x:is>
      </x:c>
      <x:c r="L13" s="3" t="inlineStr">
        <x:is>
          <x:t xml:space="preserve">Review checklist: every test asserts a domain outcome.</x:t>
        </x:is>
      </x:c>
      <x:c r="M13" s="3" t="inlineStr">
        <x:is>
          <x:t xml:space="preserve"/>
        </x:is>
      </x:c>
      <x:c r="N13" s="3" t="str">
        <x:f>B13&amp;"|"&amp;C13&amp;"|"&amp;E13</x:f>
        <x:v>pytest|Assertions &amp; Oracles|High</x:v>
      </x:c>
      <x:c r="O13" s="3" t="inlineStr">
        <x:is>
          <x:t xml:space="preserve">Low Trust</x:t>
        </x:is>
      </x:c>
      <x:c r="P13" s="3" t="inlineStr">
        <x:is>
          <x:t xml:space="preserve">Systemic</x:t>
        </x:is>
      </x:c>
      <x:c r="Q13" s="3" t="inlineStr">
        <x:is>
          <x:t xml:space="preserve">API</x:t>
        </x:is>
      </x:c>
      <x:c r="R13" s="3" t="inlineStr">
        <x:is>
          <x:t xml:space="preserve">9</x:t>
        </x:is>
      </x:c>
      <x:c r="S13" s="3" t="inlineStr">
        <x:is>
          <x:t xml:space="preserve">False green risk</x:t>
        </x:is>
      </x:c>
      <x:c r="T13" s="3" t="inlineStr">
        <x:is>
          <x:t xml:space="preserve">No AI</x:t>
        </x:is>
      </x:c>
      <x:c r="U13" s="14" t="n">
        <x:f>IFERROR(VLOOKUP(C13,Pricing!$A$2:$B$12,2,FALSE),"")</x:f>
        <x:v>2.5</x:v>
      </x:c>
      <x:c r="V13" s="15" t="n">
        <x:f>IFERROR(VLOOKUP(E13,Pricing!$G$2:$H$4,2,FALSE),"")</x:f>
        <x:v>1.5</x:v>
      </x:c>
      <x:c r="W13" s="15" t="n">
        <x:f>IFERROR(VLOOKUP(P13,Pricing!$J$2:$K$4,2,FALSE),"")</x:f>
        <x:v>1.75</x:v>
      </x:c>
      <x:c r="X13" s="15" t="n">
        <x:f>IFERROR(VLOOKUP(B13,Pricing!$D$2:$E$5,2,FALSE),"")</x:f>
        <x:v>0.9</x:v>
      </x:c>
      <x:c r="Y13" s="14" t="n">
        <x:f>IFERROR(U13*V13*W13*X13,"")</x:f>
        <x:v>5.90625</x:v>
      </x:c>
      <x:c r="Z13" s="16" t="n">
        <x:f>Pricing!$M$2</x:f>
        <x:v>215</x:v>
      </x:c>
      <x:c r="AA13" s="17" t="n">
        <x:f>IFERROR(Y13*Z13,"")</x:f>
        <x:v>1269.84375</x:v>
      </x:c>
    </x:row>
    <x:row r="14" ht="40.283203125" hidden="0" customHeight="1">
      <x:c r="A14" s="3" t="inlineStr">
        <x:is>
          <x:t xml:space="preserve">pytest|Parallelism &amp; Concurrency|Not isolating temp dirs / files</x:t>
        </x:is>
      </x:c>
      <x:c r="B14" s="3" t="inlineStr">
        <x:is>
          <x:t xml:space="preserve">pytest</x:t>
        </x:is>
      </x:c>
      <x:c r="C14" s="3" t="inlineStr">
        <x:is>
          <x:t xml:space="preserve">Parallelism &amp; Concurrency</x:t>
        </x:is>
      </x:c>
      <x:c r="D14" s="3" t="inlineStr">
        <x:is>
          <x:t xml:space="preserve">Not isolating temp dirs / files</x:t>
        </x:is>
      </x:c>
      <x:c r="E14" s="3" t="inlineStr">
        <x:is>
          <x:t xml:space="preserve">Medium</x:t>
        </x:is>
      </x:c>
      <x:c r="F14" s="3" t="inlineStr">
        <x:is>
          <x:t xml:space="preserve">xdist collisions; intermittent file errors.</x:t>
        </x:is>
      </x:c>
      <x:c r="G14" s="3" t="inlineStr">
        <x:is>
          <x:t xml:space="preserve">Shared filenames or working directory assumptions.</x:t>
        </x:is>
      </x:c>
      <x:c r="H14" s="3" t="inlineStr">
        <x:is>
          <x:t xml:space="preserve">Fails only under parallel; leftover files.</x:t>
        </x:is>
      </x:c>
      <x:c r="I14" s="3" t="inlineStr">
        <x:is>
          <x:t xml:space="preserve">Use tmp_path/tmp_path_factory; unique filenames.</x:t>
        </x:is>
      </x:c>
      <x:c r="J14" s="3" t="inlineStr">
        <x:is>
          <x:t xml:space="preserve">Replace hardcoded paths with tmp_path; cleanup explicitly.</x:t>
        </x:is>
      </x:c>
      <x:c r="K14" s="3" t="inlineStr">
        <x:is>
          <x:t xml:space="preserve">Bad: open('output.txt','w')
Good: p = tmp_path/'output.txt'</x:t>
        </x:is>
      </x:c>
      <x:c r="L14" s="3" t="inlineStr">
        <x:is>
          <x:t xml:space="preserve">CI: run a subset with -n auto periodically.</x:t>
        </x:is>
      </x:c>
      <x:c r="M14" s="3" t="inlineStr">
        <x:is>
          <x:t xml:space="preserve"/>
        </x:is>
      </x:c>
      <x:c r="N14" s="3" t="str">
        <x:f>B14&amp;"|"&amp;C14&amp;"|"&amp;E14</x:f>
        <x:v>pytest|Parallelism &amp; Concurrency|Medium</x:v>
      </x:c>
      <x:c r="O14" s="3" t="inlineStr">
        <x:is>
          <x:t xml:space="preserve">Medium Trust</x:t>
        </x:is>
      </x:c>
      <x:c r="P14" s="3" t="inlineStr">
        <x:is>
          <x:t xml:space="preserve">Recurring</x:t>
        </x:is>
      </x:c>
      <x:c r="Q14" s="3" t="inlineStr">
        <x:is>
          <x:t xml:space="preserve">CI</x:t>
        </x:is>
      </x:c>
      <x:c r="R14" s="3" t="inlineStr">
        <x:is>
          <x:t xml:space="preserve">5</x:t>
        </x:is>
      </x:c>
      <x:c r="S14" s="3" t="inlineStr">
        <x:is>
          <x:t xml:space="preserve">Scalability risk only</x:t>
        </x:is>
      </x:c>
      <x:c r="T14" s="3" t="inlineStr">
        <x:is>
          <x:t xml:space="preserve">Some AI</x:t>
        </x:is>
      </x:c>
      <x:c r="U14" s="14" t="n">
        <x:f>IFERROR(VLOOKUP(C14,Pricing!$A$2:$B$12,2,FALSE),"")</x:f>
        <x:v>6</x:v>
      </x:c>
      <x:c r="V14" s="15" t="n">
        <x:f>IFERROR(VLOOKUP(E14,Pricing!$G$2:$H$4,2,FALSE),"")</x:f>
        <x:v>1</x:v>
      </x:c>
      <x:c r="W14" s="15" t="n">
        <x:f>IFERROR(VLOOKUP(P14,Pricing!$J$2:$K$4,2,FALSE),"")</x:f>
        <x:v>1</x:v>
      </x:c>
      <x:c r="X14" s="15" t="n">
        <x:f>IFERROR(VLOOKUP(B14,Pricing!$D$2:$E$5,2,FALSE),"")</x:f>
        <x:v>0.9</x:v>
      </x:c>
      <x:c r="Y14" s="14" t="n">
        <x:f>IFERROR(U14*V14*W14*X14,"")</x:f>
        <x:v>5.4</x:v>
      </x:c>
      <x:c r="Z14" s="16" t="n">
        <x:f>Pricing!$M$2</x:f>
        <x:v>215</x:v>
      </x:c>
      <x:c r="AA14" s="17" t="n">
        <x:f>IFERROR(Y14*Z14,"")</x:f>
        <x:v>1161</x:v>
      </x:c>
    </x:row>
    <x:row r="15" ht="26.85546875" hidden="0" customHeight="1">
      <x:c r="A15" s="3" t="inlineStr">
        <x:is>
          <x:t xml:space="preserve">pytest|Test Isolation &amp; State|Relying on test order</x:t>
        </x:is>
      </x:c>
      <x:c r="B15" s="3" t="inlineStr">
        <x:is>
          <x:t xml:space="preserve">pytest</x:t>
        </x:is>
      </x:c>
      <x:c r="C15" s="3" t="inlineStr">
        <x:is>
          <x:t xml:space="preserve">Test Isolation &amp; State</x:t>
        </x:is>
      </x:c>
      <x:c r="D15" s="3" t="inlineStr">
        <x:is>
          <x:t xml:space="preserve">Relying on test order</x:t>
        </x:is>
      </x:c>
      <x:c r="E15" s="3" t="inlineStr">
        <x:is>
          <x:t xml:space="preserve">Medium</x:t>
        </x:is>
      </x:c>
      <x:c r="F15" s="3" t="inlineStr">
        <x:is>
          <x:t xml:space="preserve">Tests pass as a suite, fail individually.</x:t>
        </x:is>
      </x:c>
      <x:c r="G15" s="3" t="inlineStr">
        <x:is>
          <x:t xml:space="preserve">Hidden dependencies and shared state.</x:t>
        </x:is>
      </x:c>
      <x:c r="H15" s="3" t="inlineStr">
        <x:is>
          <x:t xml:space="preserve">Fails with -k single test; reruns differ.</x:t>
        </x:is>
      </x:c>
      <x:c r="I15" s="3" t="inlineStr">
        <x:is>
          <x:t xml:space="preserve">Each test sets up what it needs; use fixtures to seed state.</x:t>
        </x:is>
      </x:c>
      <x:c r="J15" s="3" t="inlineStr">
        <x:is>
          <x:t xml:space="preserve">Refactor: move setup into fixtures; remove cross-test coupling.</x:t>
        </x:is>
      </x:c>
      <x:c r="K15" s="3" t="inlineStr">
        <x:is>
          <x:t xml:space="preserve">Bad: test_b assumes test_a created data
Good: both use fixture seed_data()</x:t>
        </x:is>
      </x:c>
      <x:c r="L15" s="3" t="inlineStr">
        <x:is>
          <x:t xml:space="preserve">CI: randomize order or run in isolation gate.</x:t>
        </x:is>
      </x:c>
      <x:c r="M15" s="3" t="inlineStr">
        <x:is>
          <x:t xml:space="preserve"/>
        </x:is>
      </x:c>
      <x:c r="N15" s="3" t="str">
        <x:f>B15&amp;"|"&amp;C15&amp;"|"&amp;E15</x:f>
        <x:v>pytest|Test Isolation &amp; State|Medium</x:v>
      </x:c>
      <x:c r="O15" s="3" t="inlineStr">
        <x:is>
          <x:t xml:space="preserve">Low Trust</x:t>
        </x:is>
      </x:c>
      <x:c r="P15" s="3" t="inlineStr">
        <x:is>
          <x:t xml:space="preserve">Systemic</x:t>
        </x:is>
      </x:c>
      <x:c r="Q15" s="3" t="inlineStr">
        <x:is>
          <x:t xml:space="preserve">Data</x:t>
        </x:is>
      </x:c>
      <x:c r="R15" s="3" t="inlineStr">
        <x:is>
          <x:t xml:space="preserve">5</x:t>
        </x:is>
      </x:c>
      <x:c r="S15" s="3" t="inlineStr">
        <x:is>
          <x:t xml:space="preserve">Blocks trust</x:t>
        </x:is>
      </x:c>
      <x:c r="T15" s="3" t="inlineStr">
        <x:is>
          <x:t xml:space="preserve">No AI</x:t>
        </x:is>
      </x:c>
      <x:c r="U15" s="14" t="n">
        <x:f>IFERROR(VLOOKUP(C15,Pricing!$A$2:$B$12,2,FALSE),"")</x:f>
        <x:v>5</x:v>
      </x:c>
      <x:c r="V15" s="15" t="n">
        <x:f>IFERROR(VLOOKUP(E15,Pricing!$G$2:$H$4,2,FALSE),"")</x:f>
        <x:v>1</x:v>
      </x:c>
      <x:c r="W15" s="15" t="n">
        <x:f>IFERROR(VLOOKUP(P15,Pricing!$J$2:$K$4,2,FALSE),"")</x:f>
        <x:v>1.75</x:v>
      </x:c>
      <x:c r="X15" s="15" t="n">
        <x:f>IFERROR(VLOOKUP(B15,Pricing!$D$2:$E$5,2,FALSE),"")</x:f>
        <x:v>0.9</x:v>
      </x:c>
      <x:c r="Y15" s="14" t="n">
        <x:f>IFERROR(U15*V15*W15*X15,"")</x:f>
        <x:v>7.875</x:v>
      </x:c>
      <x:c r="Z15" s="16" t="n">
        <x:f>Pricing!$M$2</x:f>
        <x:v>215</x:v>
      </x:c>
      <x:c r="AA15" s="17" t="n">
        <x:f>IFERROR(Y15*Z15,"")</x:f>
        <x:v>1693.125</x:v>
      </x:c>
    </x:row>
    <x:row r="16" ht="40.283203125" hidden="0" customHeight="1">
      <x:c r="A16" s="3" t="inlineStr">
        <x:is>
          <x:t xml:space="preserve">pytest|Reporting &amp; Debuggability|No logging/context on failure</x:t>
        </x:is>
      </x:c>
      <x:c r="B16" s="3" t="inlineStr">
        <x:is>
          <x:t xml:space="preserve">pytest</x:t>
        </x:is>
      </x:c>
      <x:c r="C16" s="3" t="inlineStr">
        <x:is>
          <x:t xml:space="preserve">Reporting &amp; Debuggability</x:t>
        </x:is>
      </x:c>
      <x:c r="D16" s="3" t="inlineStr">
        <x:is>
          <x:t xml:space="preserve">No logging/context on failure</x:t>
        </x:is>
      </x:c>
      <x:c r="E16" s="3" t="inlineStr">
        <x:is>
          <x:t xml:space="preserve">Low</x:t>
        </x:is>
      </x:c>
      <x:c r="F16" s="3" t="inlineStr">
        <x:is>
          <x:t xml:space="preserve">Hard to diagnose; rerun with prints.</x:t>
        </x:is>
      </x:c>
      <x:c r="G16" s="3" t="inlineStr">
        <x:is>
          <x:t xml:space="preserve">No caplog/capsys usage; minimal assertion messages.</x:t>
        </x:is>
      </x:c>
      <x:c r="H16" s="3" t="inlineStr">
        <x:is>
          <x:t xml:space="preserve">Failures show no context.</x:t>
        </x:is>
      </x:c>
      <x:c r="I16" s="3" t="inlineStr">
        <x:is>
          <x:t xml:space="preserve">Use caplog, rich asserts, attach artifacts/log dumps.</x:t>
        </x:is>
      </x:c>
      <x:c r="J16" s="3" t="inlineStr">
        <x:is>
          <x:t xml:space="preserve">Add logging fixtures; improve assert messages; capture outputs.</x:t>
        </x:is>
      </x:c>
      <x:c r="K16" s="3" t="inlineStr">
        <x:is>
          <x:t xml:space="preserve">Good: assert x == y, f"expected {y} got {x}; payload={payload}"</x:t>
        </x:is>
      </x:c>
      <x:c r="L16" s="3" t="inlineStr">
        <x:is>
          <x:t xml:space="preserve">Policy: failing asserts must show key context.</x:t>
        </x:is>
      </x:c>
      <x:c r="M16" s="3" t="inlineStr">
        <x:is>
          <x:t xml:space="preserve"/>
        </x:is>
      </x:c>
      <x:c r="N16" s="3" t="str">
        <x:f>B16&amp;"|"&amp;C16&amp;"|"&amp;E16</x:f>
        <x:v>pytest|Reporting &amp; Debuggability|Low</x:v>
      </x:c>
      <x:c r="O16" s="3" t="inlineStr">
        <x:is>
          <x:t xml:space="preserve">Medium Trust</x:t>
        </x:is>
      </x:c>
      <x:c r="P16" s="3" t="inlineStr">
        <x:is>
          <x:t xml:space="preserve">Recurring</x:t>
        </x:is>
      </x:c>
      <x:c r="Q16" s="3" t="inlineStr">
        <x:is>
          <x:t xml:space="preserve">CI</x:t>
        </x:is>
      </x:c>
      <x:c r="R16" s="3" t="inlineStr">
        <x:is>
          <x:t xml:space="preserve">3</x:t>
        </x:is>
      </x:c>
      <x:c r="S16" s="3" t="inlineStr">
        <x:is>
          <x:t xml:space="preserve">Slows diagnosis</x:t>
        </x:is>
      </x:c>
      <x:c r="T16" s="3" t="inlineStr">
        <x:is>
          <x:t xml:space="preserve">Some AI</x:t>
        </x:is>
      </x:c>
      <x:c r="U16" s="14" t="n">
        <x:f>IFERROR(VLOOKUP(C16,Pricing!$A$2:$B$12,2,FALSE),"")</x:f>
        <x:v>2</x:v>
      </x:c>
      <x:c r="V16" s="15" t="n">
        <x:f>IFERROR(VLOOKUP(E16,Pricing!$G$2:$H$4,2,FALSE),"")</x:f>
        <x:v>0.75</x:v>
      </x:c>
      <x:c r="W16" s="15" t="n">
        <x:f>IFERROR(VLOOKUP(P16,Pricing!$J$2:$K$4,2,FALSE),"")</x:f>
        <x:v>1</x:v>
      </x:c>
      <x:c r="X16" s="15" t="n">
        <x:f>IFERROR(VLOOKUP(B16,Pricing!$D$2:$E$5,2,FALSE),"")</x:f>
        <x:v>0.9</x:v>
      </x:c>
      <x:c r="Y16" s="14" t="n">
        <x:f>IFERROR(U16*V16*W16*X16,"")</x:f>
        <x:v>1.35</x:v>
      </x:c>
      <x:c r="Z16" s="16" t="n">
        <x:f>Pricing!$M$2</x:f>
        <x:v>215</x:v>
      </x:c>
      <x:c r="AA16" s="17" t="n">
        <x:f>IFERROR(Y16*Z16,"")</x:f>
        <x:v>290.25</x:v>
      </x:c>
    </x:row>
    <x:row r="17" ht="40.283203125" hidden="0" customHeight="1">
      <x:c r="A17" s="3" t="inlineStr">
        <x:is>
          <x:t xml:space="preserve">pytest|CI/CD &amp; Environment Drift|Tests depend on local env (missing env vars)</x:t>
        </x:is>
      </x:c>
      <x:c r="B17" s="3" t="inlineStr">
        <x:is>
          <x:t xml:space="preserve">pytest</x:t>
        </x:is>
      </x:c>
      <x:c r="C17" s="3" t="inlineStr">
        <x:is>
          <x:t xml:space="preserve">CI/CD &amp; Environment Drift</x:t>
        </x:is>
      </x:c>
      <x:c r="D17" s="3" t="inlineStr">
        <x:is>
          <x:t xml:space="preserve">Tests depend on local env (missing env vars)</x:t>
        </x:is>
      </x:c>
      <x:c r="E17" s="3" t="inlineStr">
        <x:is>
          <x:t xml:space="preserve">Medium</x:t>
        </x:is>
      </x:c>
      <x:c r="F17" s="3" t="inlineStr">
        <x:is>
          <x:t xml:space="preserve">CI failures; local passes.</x:t>
        </x:is>
      </x:c>
      <x:c r="G17" s="3" t="inlineStr">
        <x:is>
          <x:t xml:space="preserve">Implicit environment dependencies.</x:t>
        </x:is>
      </x:c>
      <x:c r="H17" s="3" t="inlineStr">
        <x:is>
          <x:t xml:space="preserve">Errors like KeyError env var; wrong base URL.</x:t>
        </x:is>
      </x:c>
      <x:c r="I17" s="3" t="inlineStr">
        <x:is>
          <x:t xml:space="preserve">Explicit config loading; fail fast with clear messages.</x:t>
        </x:is>
      </x:c>
      <x:c r="J17" s="3" t="inlineStr">
        <x:is>
          <x:t xml:space="preserve">Add config validation at start; document required env vars.</x:t>
        </x:is>
      </x:c>
      <x:c r="K17" s="3" t="inlineStr">
        <x:is>
          <x:t xml:space="preserve">Good: if not os.getenv('BASE_URL'): pytest.skip/raise with message</x:t>
        </x:is>
      </x:c>
      <x:c r="L17" s="3" t="inlineStr">
        <x:is>
          <x:t xml:space="preserve">CI: validate env preflight step.</x:t>
        </x:is>
      </x:c>
      <x:c r="M17" s="3" t="inlineStr">
        <x:is>
          <x:t xml:space="preserve"/>
        </x:is>
      </x:c>
      <x:c r="N17" s="3" t="str">
        <x:f>B17&amp;"|"&amp;C17&amp;"|"&amp;E17</x:f>
        <x:v>pytest|CI/CD &amp; Environment Drift|Medium</x:v>
      </x:c>
      <x:c r="O17" s="3" t="inlineStr">
        <x:is>
          <x:t xml:space="preserve">Low Trust</x:t>
        </x:is>
      </x:c>
      <x:c r="P17" s="3" t="inlineStr">
        <x:is>
          <x:t xml:space="preserve">Systemic</x:t>
        </x:is>
      </x:c>
      <x:c r="Q17" s="3" t="inlineStr">
        <x:is>
          <x:t xml:space="preserve">Environment</x:t>
        </x:is>
      </x:c>
      <x:c r="R17" s="3" t="inlineStr">
        <x:is>
          <x:t xml:space="preserve">2</x:t>
        </x:is>
      </x:c>
      <x:c r="S17" s="3" t="inlineStr">
        <x:is>
          <x:t xml:space="preserve">Blocks trust</x:t>
        </x:is>
      </x:c>
      <x:c r="T17" s="3" t="inlineStr">
        <x:is>
          <x:t xml:space="preserve">No AI</x:t>
        </x:is>
      </x:c>
      <x:c r="U17" s="14" t="n">
        <x:f>IFERROR(VLOOKUP(C17,Pricing!$A$2:$B$12,2,FALSE),"")</x:f>
        <x:v>4.5</x:v>
      </x:c>
      <x:c r="V17" s="15" t="n">
        <x:f>IFERROR(VLOOKUP(E17,Pricing!$G$2:$H$4,2,FALSE),"")</x:f>
        <x:v>1</x:v>
      </x:c>
      <x:c r="W17" s="15" t="n">
        <x:f>IFERROR(VLOOKUP(P17,Pricing!$J$2:$K$4,2,FALSE),"")</x:f>
        <x:v>1.75</x:v>
      </x:c>
      <x:c r="X17" s="15" t="n">
        <x:f>IFERROR(VLOOKUP(B17,Pricing!$D$2:$E$5,2,FALSE),"")</x:f>
        <x:v>0.9</x:v>
      </x:c>
      <x:c r="Y17" s="14" t="n">
        <x:f>IFERROR(U17*V17*W17*X17,"")</x:f>
        <x:v>7.0875</x:v>
      </x:c>
      <x:c r="Z17" s="16" t="n">
        <x:f>Pricing!$M$2</x:f>
        <x:v>215</x:v>
      </x:c>
      <x:c r="AA17" s="17" t="n">
        <x:f>IFERROR(Y17*Z17,"")</x:f>
        <x:v>1523.8125</x:v>
      </x:c>
    </x:row>
    <x:row r="18" ht="40.283203125" hidden="0" customHeight="1">
      <x:c r="A18" s="3" t="inlineStr">
        <x:is>
          <x:t xml:space="preserve">Cypress|Selectors &amp; Locators|Brittle CSS / chained cy.get selectors</x:t>
        </x:is>
      </x:c>
      <x:c r="B18" s="3" t="inlineStr">
        <x:is>
          <x:t xml:space="preserve">Cypress</x:t>
        </x:is>
      </x:c>
      <x:c r="C18" s="3" t="inlineStr">
        <x:is>
          <x:t xml:space="preserve">Selectors &amp; Locators</x:t>
        </x:is>
      </x:c>
      <x:c r="D18" s="3" t="inlineStr">
        <x:is>
          <x:t xml:space="preserve">Brittle CSS / chained cy.get selectors</x:t>
        </x:is>
      </x:c>
      <x:c r="E18" s="3" t="inlineStr">
        <x:is>
          <x:t xml:space="preserve">High</x:t>
        </x:is>
      </x:c>
      <x:c r="F18" s="3" t="inlineStr">
        <x:is>
          <x:t xml:space="preserve">Minor UI refactors break tests; selectors drift quickly.</x:t>
        </x:is>
      </x:c>
      <x:c r="G18" s="3" t="inlineStr">
        <x:is>
          <x:t xml:space="preserve">Selectors coupled to DOM structure or styling classes rather than stable semantics.</x:t>
        </x:is>
      </x:c>
      <x:c r="H18" s="3" t="inlineStr">
        <x:is>
          <x:t xml:space="preserve">Frequent selector churn; selectors rely on .class chains, :nth-child, or deep descendants.</x:t>
        </x:is>
      </x:c>
      <x:c r="I18" s="3" t="inlineStr">
        <x:is>
          <x:t xml:space="preserve">Prefer data-testid, accessible labels, and stable semantic hooks.</x:t>
        </x:is>
      </x:c>
      <x:c r="J18" s="3" t="inlineStr">
        <x:is>
          <x:t xml:space="preserve">Replace brittle selectors with stable test ids or semantic hooks; standardize selector policy.</x:t>
        </x:is>
      </x:c>
      <x:c r="K18" s="3" t="inlineStr">
        <x:is>
          <x:t xml:space="preserve">Bad: cy.get('div.card &gt; .btn.primary').click()
Good: cy.findByRole('button', { name: /save/i }).click()</x:t>
        </x:is>
      </x:c>
      <x:c r="L18" s="3" t="inlineStr">
        <x:is>
          <x:t xml:space="preserve">Review rule: no deep CSS chains or positional selectors unless justified.</x:t>
        </x:is>
      </x:c>
      <x:c r="M18" s="3" t="inlineStr">
        <x:is>
          <x:t xml:space="preserve">Pair with testing-library commands when possible.</x:t>
        </x:is>
      </x:c>
      <x:c r="N18" s="3" t="str">
        <x:f>B18&amp;"|"&amp;C18&amp;"|"&amp;E18</x:f>
        <x:v>Cypress|Selectors &amp; Locators|High</x:v>
      </x:c>
      <x:c r="O18" s="3" t="inlineStr">
        <x:is>
          <x:t xml:space="preserve">Low Trust</x:t>
        </x:is>
      </x:c>
      <x:c r="P18" s="3" t="inlineStr">
        <x:is>
          <x:t xml:space="preserve">Recurring</x:t>
        </x:is>
      </x:c>
      <x:c r="Q18" s="3" t="inlineStr">
        <x:is>
          <x:t xml:space="preserve">UI</x:t>
        </x:is>
      </x:c>
      <x:c r="R18" s="3" t="inlineStr">
        <x:is>
          <x:t xml:space="preserve">16</x:t>
        </x:is>
      </x:c>
      <x:c r="S18" s="3" t="inlineStr">
        <x:is>
          <x:t xml:space="preserve">Weakens release confidence</x:t>
        </x:is>
      </x:c>
      <x:c r="T18" s="3" t="inlineStr">
        <x:is>
          <x:t xml:space="preserve">No AI</x:t>
        </x:is>
      </x:c>
      <x:c r="U18" s="14" t="n">
        <x:f>IFERROR(VLOOKUP(C18,Pricing!$A$2:$B$12,2,FALSE),"")</x:f>
        <x:v>2.5</x:v>
      </x:c>
      <x:c r="V18" s="15" t="n">
        <x:f>IFERROR(VLOOKUP(E18,Pricing!$G$2:$H$4,2,FALSE),"")</x:f>
        <x:v>1.5</x:v>
      </x:c>
      <x:c r="W18" s="15" t="n">
        <x:f>IFERROR(VLOOKUP(P18,Pricing!$J$2:$K$4,2,FALSE),"")</x:f>
        <x:v>1</x:v>
      </x:c>
      <x:c r="X18" s="15" t="n">
        <x:f>IFERROR(VLOOKUP(B18,Pricing!$D$2:$E$5,2,FALSE),"")</x:f>
        <x:v>1</x:v>
      </x:c>
      <x:c r="Y18" s="14" t="n">
        <x:f>IFERROR(U18*V18*W18*X18,"")</x:f>
        <x:v>3.75</x:v>
      </x:c>
      <x:c r="Z18" s="16" t="n">
        <x:f>Pricing!$M$2</x:f>
        <x:v>215</x:v>
      </x:c>
      <x:c r="AA18" s="17" t="n">
        <x:f>IFERROR(Y18*Z18,"")</x:f>
        <x:v>806.25</x:v>
      </x:c>
    </x:row>
    <x:row r="19" ht="40.283203125" hidden="0" customHeight="1">
      <x:c r="A19" s="3" t="inlineStr">
        <x:is>
          <x:t xml:space="preserve">Cypress|Waiting &amp; Flakiness|cy.wait(&lt;ms&gt;) for app readiness</x:t>
        </x:is>
      </x:c>
      <x:c r="B19" s="3" t="inlineStr">
        <x:is>
          <x:t xml:space="preserve">Cypress</x:t>
        </x:is>
      </x:c>
      <x:c r="C19" s="3" t="inlineStr">
        <x:is>
          <x:t xml:space="preserve">Waiting &amp; Flakiness</x:t>
        </x:is>
      </x:c>
      <x:c r="D19" s="3" t="inlineStr">
        <x:is>
          <x:t xml:space="preserve">cy.wait(&lt;ms&gt;) for app readiness</x:t>
        </x:is>
      </x:c>
      <x:c r="E19" s="3" t="inlineStr">
        <x:is>
          <x:t xml:space="preserve">High</x:t>
        </x:is>
      </x:c>
      <x:c r="F19" s="3" t="inlineStr">
        <x:is>
          <x:t xml:space="preserve">Flaky tests in CI; slower suites; intermittent passes locally.</x:t>
        </x:is>
      </x:c>
      <x:c r="G19" s="3" t="inlineStr">
        <x:is>
          <x:t xml:space="preserve">Waiting on time instead of deterministic UI/network signals.</x:t>
        </x:is>
      </x:c>
      <x:c r="H19" s="3" t="inlineStr">
        <x:is>
          <x:t xml:space="preserve">Fixed waits &gt;100ms in spec files; repeated timeout tuning.</x:t>
        </x:is>
      </x:c>
      <x:c r="I19" s="3" t="inlineStr">
        <x:is>
          <x:t xml:space="preserve">Wait on route aliases, DOM assertions, or explicit app-ready conditions.</x:t>
        </x:is>
      </x:c>
      <x:c r="J19" s="3" t="inlineStr">
        <x:is>
          <x:t xml:space="preserve">Replace fixed waits with cy.intercept + cy.wait(@alias), should(), and deterministic readiness checks.</x:t>
        </x:is>
      </x:c>
      <x:c r="K19" s="3" t="inlineStr">
        <x:is>
          <x:t xml:space="preserve">Bad: cy.wait(3000)
Good: cy.wait('@getArticle'); cy.findByRole('heading', { name: /article/i }).should('be.visible')</x:t>
        </x:is>
      </x:c>
      <x:c r="L19" s="3" t="inlineStr">
        <x:is>
          <x:t xml:space="preserve">Lint/review: forbid fixed waits except for documented animation cases.</x:t>
        </x:is>
      </x:c>
      <x:c r="M19" s="3" t="inlineStr">
        <x:is>
          <x:t xml:space="preserve">A classic flake source in Cypress suites.</x:t>
        </x:is>
      </x:c>
      <x:c r="N19" s="3" t="str">
        <x:f>B19&amp;"|"&amp;C19&amp;"|"&amp;E19</x:f>
        <x:v>Cypress|Waiting &amp; Flakiness|High</x:v>
      </x:c>
      <x:c r="O19" s="3" t="inlineStr">
        <x:is>
          <x:t xml:space="preserve">Low Trust</x:t>
        </x:is>
      </x:c>
      <x:c r="P19" s="3" t="inlineStr">
        <x:is>
          <x:t xml:space="preserve">Recurring</x:t>
        </x:is>
      </x:c>
      <x:c r="Q19" s="3" t="inlineStr">
        <x:is>
          <x:t xml:space="preserve">UI</x:t>
        </x:is>
      </x:c>
      <x:c r="R19" s="3" t="inlineStr">
        <x:is>
          <x:t xml:space="preserve">3</x:t>
        </x:is>
      </x:c>
      <x:c r="S19" s="3" t="inlineStr">
        <x:is>
          <x:t xml:space="preserve">Blocks trust</x:t>
        </x:is>
      </x:c>
      <x:c r="T19" s="3" t="inlineStr">
        <x:is>
          <x:t xml:space="preserve">No AI</x:t>
        </x:is>
      </x:c>
      <x:c r="U19" s="14" t="n">
        <x:f>IFERROR(VLOOKUP(C19,Pricing!$A$2:$B$12,2,FALSE),"")</x:f>
        <x:v>3.5</x:v>
      </x:c>
      <x:c r="V19" s="15" t="n">
        <x:f>IFERROR(VLOOKUP(E19,Pricing!$G$2:$H$4,2,FALSE),"")</x:f>
        <x:v>1.5</x:v>
      </x:c>
      <x:c r="W19" s="15" t="n">
        <x:f>IFERROR(VLOOKUP(P19,Pricing!$J$2:$K$4,2,FALSE),"")</x:f>
        <x:v>1</x:v>
      </x:c>
      <x:c r="X19" s="15" t="n">
        <x:f>IFERROR(VLOOKUP(B19,Pricing!$D$2:$E$5,2,FALSE),"")</x:f>
        <x:v>1</x:v>
      </x:c>
      <x:c r="Y19" s="14" t="n">
        <x:f>IFERROR(U19*V19*W19*X19,"")</x:f>
        <x:v>5.25</x:v>
      </x:c>
      <x:c r="Z19" s="16" t="n">
        <x:f>Pricing!$M$2</x:f>
        <x:v>215</x:v>
      </x:c>
      <x:c r="AA19" s="17" t="n">
        <x:f>IFERROR(Y19*Z19,"")</x:f>
        <x:v>1128.75</x:v>
      </x:c>
    </x:row>
    <x:row r="20" ht="53.7109375" hidden="0" customHeight="1">
      <x:c r="A20" s="3" t="inlineStr">
        <x:is>
          <x:t xml:space="preserve">Cypress|Test Isolation &amp; State|Reusing authenticated browser state for unauthorized scenarios</x:t>
        </x:is>
      </x:c>
      <x:c r="B20" s="3" t="inlineStr">
        <x:is>
          <x:t xml:space="preserve">Cypress</x:t>
        </x:is>
      </x:c>
      <x:c r="C20" s="3" t="inlineStr">
        <x:is>
          <x:t xml:space="preserve">Test Isolation &amp; State</x:t>
        </x:is>
      </x:c>
      <x:c r="D20" s="3" t="inlineStr">
        <x:is>
          <x:t xml:space="preserve">Reusing authenticated browser state for unauthorized scenarios</x:t>
        </x:is>
      </x:c>
      <x:c r="E20" s="3" t="inlineStr">
        <x:is>
          <x:t xml:space="preserve">High</x:t>
        </x:is>
      </x:c>
      <x:c r="F20" s="3" t="inlineStr">
        <x:is>
          <x:t xml:space="preserve">Negative auth tests pass unexpectedly; security regressions missed.</x:t>
        </x:is>
      </x:c>
      <x:c r="G20" s="3" t="inlineStr">
        <x:is>
          <x:t xml:space="preserve">Cookies/localStorage/session reused across tests or suites.</x:t>
        </x:is>
      </x:c>
      <x:c r="H20" s="3" t="inlineStr">
        <x:is>
          <x:t xml:space="preserve">Unauthorized specs still show logged-in UI or skip redirect checks.</x:t>
        </x:is>
      </x:c>
      <x:c r="I20" s="3" t="inlineStr">
        <x:is>
          <x:t xml:space="preserve">Create explicit unauthenticated setup; clear session state before negative tests.</x:t>
        </x:is>
      </x:c>
      <x:c r="J20" s="3" t="inlineStr">
        <x:is>
          <x:t xml:space="preserve">Use cy.clearCookies, cy.clearLocalStorage, separate auth helpers, and isolated setup per scenario.</x:t>
        </x:is>
      </x:c>
      <x:c r="K20" s="3" t="inlineStr">
        <x:is>
          <x:t xml:space="preserve">Bad: use prior logged-in session for 401/redirect test
Good: clear state first, visit page, assert redirect/sign-in CTA</x:t>
        </x:is>
      </x:c>
      <x:c r="L20" s="3" t="inlineStr">
        <x:is>
          <x:t xml:space="preserve">Rule: negative auth tests must prove clean unauthenticated state.</x:t>
        </x:is>
      </x:c>
      <x:c r="M20" s="3" t="inlineStr">
        <x:is>
          <x:t xml:space="preserve">Often hidden by global before hooks or cy.session reuse.</x:t>
        </x:is>
      </x:c>
      <x:c r="N20" s="3" t="str">
        <x:f>B20&amp;"|"&amp;C20&amp;"|"&amp;E20</x:f>
        <x:v>Cypress|Test Isolation &amp; State|High</x:v>
      </x:c>
      <x:c r="O20" s="3" t="inlineStr">
        <x:is>
          <x:t xml:space="preserve">Low Trust</x:t>
        </x:is>
      </x:c>
      <x:c r="P20" s="3" t="inlineStr">
        <x:is>
          <x:t xml:space="preserve">Systemic</x:t>
        </x:is>
      </x:c>
      <x:c r="Q20" s="3" t="inlineStr">
        <x:is>
          <x:t xml:space="preserve">Auth</x:t>
        </x:is>
      </x:c>
      <x:c r="R20" s="3" t="inlineStr">
        <x:is>
          <x:t xml:space="preserve">5</x:t>
        </x:is>
      </x:c>
      <x:c r="S20" s="3" t="inlineStr">
        <x:is>
          <x:t xml:space="preserve">False green risk</x:t>
        </x:is>
      </x:c>
      <x:c r="T20" s="3" t="inlineStr">
        <x:is>
          <x:t xml:space="preserve">No AI</x:t>
        </x:is>
      </x:c>
      <x:c r="U20" s="14" t="n">
        <x:f>IFERROR(VLOOKUP(C20,Pricing!$A$2:$B$12,2,FALSE),"")</x:f>
        <x:v>5</x:v>
      </x:c>
      <x:c r="V20" s="15" t="n">
        <x:f>IFERROR(VLOOKUP(E20,Pricing!$G$2:$H$4,2,FALSE),"")</x:f>
        <x:v>1.5</x:v>
      </x:c>
      <x:c r="W20" s="15" t="n">
        <x:f>IFERROR(VLOOKUP(P20,Pricing!$J$2:$K$4,2,FALSE),"")</x:f>
        <x:v>1.75</x:v>
      </x:c>
      <x:c r="X20" s="15" t="n">
        <x:f>IFERROR(VLOOKUP(B20,Pricing!$D$2:$E$5,2,FALSE),"")</x:f>
        <x:v>1</x:v>
      </x:c>
      <x:c r="Y20" s="14" t="n">
        <x:f>IFERROR(U20*V20*W20*X20,"")</x:f>
        <x:v>13.125</x:v>
      </x:c>
      <x:c r="Z20" s="16" t="n">
        <x:f>Pricing!$M$2</x:f>
        <x:v>215</x:v>
      </x:c>
      <x:c r="AA20" s="17" t="n">
        <x:f>IFERROR(Y20*Z20,"")</x:f>
        <x:v>2821.875</x:v>
      </x:c>
    </x:row>
    <x:row r="21" ht="40.283203125" hidden="0" customHeight="1">
      <x:c r="A21" s="3" t="inlineStr">
        <x:is>
          <x:t xml:space="preserve">Cypress|Parallelism &amp; Concurrency|Shared seeded data across specs or machines</x:t>
        </x:is>
      </x:c>
      <x:c r="B21" s="3" t="inlineStr">
        <x:is>
          <x:t xml:space="preserve">Cypress</x:t>
        </x:is>
      </x:c>
      <x:c r="C21" s="3" t="inlineStr">
        <x:is>
          <x:t xml:space="preserve">Parallelism &amp; Concurrency</x:t>
        </x:is>
      </x:c>
      <x:c r="D21" s="3" t="inlineStr">
        <x:is>
          <x:t xml:space="preserve">Shared seeded data across specs or machines</x:t>
        </x:is>
      </x:c>
      <x:c r="E21" s="3" t="inlineStr">
        <x:is>
          <x:t xml:space="preserve">High</x:t>
        </x:is>
      </x:c>
      <x:c r="F21" s="3" t="inlineStr">
        <x:is>
          <x:t xml:space="preserve">Parallel runs collide; order-dependent failures; duplicate record errors.</x:t>
        </x:is>
      </x:c>
      <x:c r="G21" s="3" t="inlineStr">
        <x:is>
          <x:t xml:space="preserve">Specs assume shared users/slugs/records instead of per-test ownership.</x:t>
        </x:is>
      </x:c>
      <x:c r="H21" s="3" t="inlineStr">
        <x:is>
          <x:t xml:space="preserve">Failures appear only in parallel CI or when rerun order changes.</x:t>
        </x:is>
      </x:c>
      <x:c r="I21" s="3" t="inlineStr">
        <x:is>
          <x:t xml:space="preserve">Generate unique test data per spec/test and own full data lifecycle.</x:t>
        </x:is>
      </x:c>
      <x:c r="J21" s="3" t="inlineStr">
        <x:is>
          <x:t xml:space="preserve">Move shared data into fixtures/factories with unique suffixes; reset state deterministically.</x:t>
        </x:is>
      </x:c>
      <x:c r="K21" s="3" t="inlineStr">
        <x:is>
          <x:t xml:space="preserve">Bad: all specs publish article 'hello-world'
Good: article slug includes run id / spec id</x:t>
        </x:is>
      </x:c>
      <x:c r="L21" s="3" t="inlineStr">
        <x:is>
          <x:t xml:space="preserve">Run parallel shards regularly and fail on duplicate-key patterns.</x:t>
        </x:is>
      </x:c>
      <x:c r="M21" s="3" t="inlineStr">
        <x:is>
          <x:t xml:space="preserve">Critical for trustworthy CI scale.</x:t>
        </x:is>
      </x:c>
      <x:c r="N21" s="3" t="str">
        <x:f>B21&amp;"|"&amp;C21&amp;"|"&amp;E21</x:f>
        <x:v>Cypress|Parallelism &amp; Concurrency|High</x:v>
      </x:c>
      <x:c r="O21" s="3" t="inlineStr">
        <x:is>
          <x:t xml:space="preserve">Low Trust</x:t>
        </x:is>
      </x:c>
      <x:c r="P21" s="3" t="inlineStr">
        <x:is>
          <x:t xml:space="preserve">Systemic</x:t>
        </x:is>
      </x:c>
      <x:c r="Q21" s="3" t="inlineStr">
        <x:is>
          <x:t xml:space="preserve">Data</x:t>
        </x:is>
      </x:c>
      <x:c r="R21" s="3" t="inlineStr">
        <x:is>
          <x:t xml:space="preserve">5</x:t>
        </x:is>
      </x:c>
      <x:c r="S21" s="3" t="inlineStr">
        <x:is>
          <x:t xml:space="preserve">Blocks trust</x:t>
        </x:is>
      </x:c>
      <x:c r="T21" s="3" t="inlineStr">
        <x:is>
          <x:t xml:space="preserve">No AI</x:t>
        </x:is>
      </x:c>
      <x:c r="U21" s="14" t="n">
        <x:f>IFERROR(VLOOKUP(C21,Pricing!$A$2:$B$12,2,FALSE),"")</x:f>
        <x:v>6</x:v>
      </x:c>
      <x:c r="V21" s="15" t="n">
        <x:f>IFERROR(VLOOKUP(E21,Pricing!$G$2:$H$4,2,FALSE),"")</x:f>
        <x:v>1.5</x:v>
      </x:c>
      <x:c r="W21" s="15" t="n">
        <x:f>IFERROR(VLOOKUP(P21,Pricing!$J$2:$K$4,2,FALSE),"")</x:f>
        <x:v>1.75</x:v>
      </x:c>
      <x:c r="X21" s="15" t="n">
        <x:f>IFERROR(VLOOKUP(B21,Pricing!$D$2:$E$5,2,FALSE),"")</x:f>
        <x:v>1</x:v>
      </x:c>
      <x:c r="Y21" s="14" t="n">
        <x:f>IFERROR(U21*V21*W21*X21,"")</x:f>
        <x:v>15.75</x:v>
      </x:c>
      <x:c r="Z21" s="16" t="n">
        <x:f>Pricing!$M$2</x:f>
        <x:v>215</x:v>
      </x:c>
      <x:c r="AA21" s="17" t="n">
        <x:f>IFERROR(Y21*Z21,"")</x:f>
        <x:v>3386.25</x:v>
      </x:c>
    </x:row>
    <x:row r="22" ht="40.283203125" hidden="0" customHeight="1">
      <x:c r="A22" s="3" t="inlineStr">
        <x:is>
          <x:t xml:space="preserve">Cypress|Network &amp; API Mocking|Stubbing core app APIs for all coverage</x:t>
        </x:is>
      </x:c>
      <x:c r="B22" s="3" t="inlineStr">
        <x:is>
          <x:t xml:space="preserve">Cypress</x:t>
        </x:is>
      </x:c>
      <x:c r="C22" s="3" t="inlineStr">
        <x:is>
          <x:t xml:space="preserve">Network &amp; API Mocking</x:t>
        </x:is>
      </x:c>
      <x:c r="D22" s="3" t="inlineStr">
        <x:is>
          <x:t xml:space="preserve">Stubbing core app APIs for all coverage</x:t>
        </x:is>
      </x:c>
      <x:c r="E22" s="3" t="inlineStr">
        <x:is>
          <x:t xml:space="preserve">Medium</x:t>
        </x:is>
      </x:c>
      <x:c r="F22" s="3" t="inlineStr">
        <x:is>
          <x:t xml:space="preserve">False greens; UI tests pass while real integrations fail.</x:t>
        </x:is>
      </x:c>
      <x:c r="G22" s="3" t="inlineStr">
        <x:is>
          <x:t xml:space="preserve">Overuse of cy.intercept fixtures with no real-path validation.</x:t>
        </x:is>
      </x:c>
      <x:c r="H22" s="3" t="inlineStr">
        <x:is>
          <x:t xml:space="preserve">Most specs stub first-party APIs; little or no live smoke coverage.</x:t>
        </x:is>
      </x:c>
      <x:c r="I22" s="3" t="inlineStr">
        <x:is>
          <x:t xml:space="preserve">Use a bounded mocking policy and keep at least one real-path smoke/regression route.</x:t>
        </x:is>
      </x:c>
      <x:c r="J22" s="3" t="inlineStr">
        <x:is>
          <x:t xml:space="preserve">Restrict mocks to unstable/third-party dependencies; add real API coverage and schema checks.</x:t>
        </x:is>
      </x:c>
      <x:c r="K22" s="3" t="inlineStr">
        <x:is>
          <x:t xml:space="preserve">Bad: intercept all /api/articles calls with fixture
Good: mock only 3rd-party dependency, keep first-party API live in smoke</x:t>
        </x:is>
      </x:c>
      <x:c r="L22" s="3" t="inlineStr">
        <x:is>
          <x:t xml:space="preserve">Policy: critical smoke path must hit the real first-party API.</x:t>
        </x:is>
      </x:c>
      <x:c r="M22" s="3" t="inlineStr">
        <x:is>
          <x:t xml:space="preserve">Matches your anti-fake-confidence philosophy.</x:t>
        </x:is>
      </x:c>
      <x:c r="N22" s="3" t="str">
        <x:f>B22&amp;"|"&amp;C22&amp;"|"&amp;E22</x:f>
        <x:v>Cypress|Network &amp; API Mocking|Medium</x:v>
      </x:c>
      <x:c r="O22" s="3" t="inlineStr">
        <x:is>
          <x:t xml:space="preserve">Medium Trust</x:t>
        </x:is>
      </x:c>
      <x:c r="P22" s="3" t="inlineStr">
        <x:is>
          <x:t xml:space="preserve">Systemic</x:t>
        </x:is>
      </x:c>
      <x:c r="Q22" s="3" t="inlineStr">
        <x:is>
          <x:t xml:space="preserve">API</x:t>
        </x:is>
      </x:c>
      <x:c r="R22" s="3" t="inlineStr">
        <x:is>
          <x:t xml:space="preserve">9</x:t>
        </x:is>
      </x:c>
      <x:c r="S22" s="3" t="inlineStr">
        <x:is>
          <x:t xml:space="preserve">False green risk</x:t>
        </x:is>
      </x:c>
      <x:c r="T22" s="3" t="inlineStr">
        <x:is>
          <x:t xml:space="preserve">No AI</x:t>
        </x:is>
      </x:c>
      <x:c r="U22" s="14" t="n">
        <x:f>IFERROR(VLOOKUP(C22,Pricing!$A$2:$B$12,2,FALSE),"")</x:f>
        <x:v>4.5</x:v>
      </x:c>
      <x:c r="V22" s="15" t="n">
        <x:f>IFERROR(VLOOKUP(E22,Pricing!$G$2:$H$4,2,FALSE),"")</x:f>
        <x:v>1</x:v>
      </x:c>
      <x:c r="W22" s="15" t="n">
        <x:f>IFERROR(VLOOKUP(P22,Pricing!$J$2:$K$4,2,FALSE),"")</x:f>
        <x:v>1.75</x:v>
      </x:c>
      <x:c r="X22" s="15" t="n">
        <x:f>IFERROR(VLOOKUP(B22,Pricing!$D$2:$E$5,2,FALSE),"")</x:f>
        <x:v>1</x:v>
      </x:c>
      <x:c r="Y22" s="14" t="n">
        <x:f>IFERROR(U22*V22*W22*X22,"")</x:f>
        <x:v>7.875</x:v>
      </x:c>
      <x:c r="Z22" s="16" t="n">
        <x:f>Pricing!$M$2</x:f>
        <x:v>215</x:v>
      </x:c>
      <x:c r="AA22" s="17" t="n">
        <x:f>IFERROR(Y22*Z22,"")</x:f>
        <x:v>1693.125</x:v>
      </x:c>
    </x:row>
    <x:row r="23" ht="53.7109375" hidden="0" customHeight="1">
      <x:c r="A23" s="3" t="inlineStr">
        <x:is>
          <x:t xml:space="preserve">Cypress|Reporting &amp; Debuggability|No screenshots/videos/command-log context on failure</x:t>
        </x:is>
      </x:c>
      <x:c r="B23" s="3" t="inlineStr">
        <x:is>
          <x:t xml:space="preserve">Cypress</x:t>
        </x:is>
      </x:c>
      <x:c r="C23" s="3" t="inlineStr">
        <x:is>
          <x:t xml:space="preserve">Reporting &amp; Debuggability</x:t>
        </x:is>
      </x:c>
      <x:c r="D23" s="3" t="inlineStr">
        <x:is>
          <x:t xml:space="preserve">No screenshots/videos/command-log context on failure</x:t>
        </x:is>
      </x:c>
      <x:c r="E23" s="3" t="inlineStr">
        <x:is>
          <x:t xml:space="preserve">Medium</x:t>
        </x:is>
      </x:c>
      <x:c r="F23" s="3" t="inlineStr">
        <x:is>
          <x:t xml:space="preserve">CI failures require reruns; insufficient evidence for fast triage.</x:t>
        </x:is>
      </x:c>
      <x:c r="G23" s="3" t="inlineStr">
        <x:is>
          <x:t xml:space="preserve">Artifacts disabled or not retained; app/network context not captured.</x:t>
        </x:is>
      </x:c>
      <x:c r="H23" s="3" t="inlineStr">
        <x:is>
          <x:t xml:space="preserve">Failed jobs have only console output and no media/artifact bundle.</x:t>
        </x:is>
      </x:c>
      <x:c r="I23" s="3" t="inlineStr">
        <x:is>
          <x:t xml:space="preserve">Retain screenshots/videos and attach app/network evidence for failing jobs.</x:t>
        </x:is>
      </x:c>
      <x:c r="J23" s="3" t="inlineStr">
        <x:is>
          <x:t xml:space="preserve">Enable screenshots/videos, keep command log context, attach structured failure notes.</x:t>
        </x:is>
      </x:c>
      <x:c r="K23" s="3" t="inlineStr">
        <x:is>
          <x:t xml:space="preserve">Bad: console log only
Good: screenshot + video + request/response evidence attached to CI job</x:t>
        </x:is>
      </x:c>
      <x:c r="L23" s="3" t="inlineStr">
        <x:is>
          <x:t xml:space="preserve">Artifacts required for failed Cypress jobs.</x:t>
        </x:is>
      </x:c>
      <x:c r="M23" s="3" t="inlineStr">
        <x:is>
          <x:t xml:space="preserve">Feeds later artifact contract and triage work.</x:t>
        </x:is>
      </x:c>
      <x:c r="N23" s="3" t="str">
        <x:f>B23&amp;"|"&amp;C23&amp;"|"&amp;E23</x:f>
        <x:v>Cypress|Reporting &amp; Debuggability|Medium</x:v>
      </x:c>
      <x:c r="O23" s="3" t="inlineStr">
        <x:is>
          <x:t xml:space="preserve">Low Trust</x:t>
        </x:is>
      </x:c>
      <x:c r="P23" s="3" t="inlineStr">
        <x:is>
          <x:t xml:space="preserve">Systemic</x:t>
        </x:is>
      </x:c>
      <x:c r="Q23" s="3" t="inlineStr">
        <x:is>
          <x:t xml:space="preserve">CI</x:t>
        </x:is>
      </x:c>
      <x:c r="R23" s="3" t="inlineStr">
        <x:is>
          <x:t xml:space="preserve">3</x:t>
        </x:is>
      </x:c>
      <x:c r="S23" s="3" t="inlineStr">
        <x:is>
          <x:t xml:space="preserve">Slows diagnosis</x:t>
        </x:is>
      </x:c>
      <x:c r="T23" s="3" t="inlineStr">
        <x:is>
          <x:t xml:space="preserve">No AI</x:t>
        </x:is>
      </x:c>
      <x:c r="U23" s="14" t="n">
        <x:f>IFERROR(VLOOKUP(C23,Pricing!$A$2:$B$12,2,FALSE),"")</x:f>
        <x:v>2</x:v>
      </x:c>
      <x:c r="V23" s="15" t="n">
        <x:f>IFERROR(VLOOKUP(E23,Pricing!$G$2:$H$4,2,FALSE),"")</x:f>
        <x:v>1</x:v>
      </x:c>
      <x:c r="W23" s="15" t="n">
        <x:f>IFERROR(VLOOKUP(P23,Pricing!$J$2:$K$4,2,FALSE),"")</x:f>
        <x:v>1.75</x:v>
      </x:c>
      <x:c r="X23" s="15" t="n">
        <x:f>IFERROR(VLOOKUP(B23,Pricing!$D$2:$E$5,2,FALSE),"")</x:f>
        <x:v>1</x:v>
      </x:c>
      <x:c r="Y23" s="14" t="n">
        <x:f>IFERROR(U23*V23*W23*X23,"")</x:f>
        <x:v>3.5</x:v>
      </x:c>
      <x:c r="Z23" s="16" t="n">
        <x:f>Pricing!$M$2</x:f>
        <x:v>215</x:v>
      </x:c>
      <x:c r="AA23" s="17" t="n">
        <x:f>IFERROR(Y23*Z23,"")</x:f>
        <x:v>752.5</x:v>
      </x:c>
    </x:row>
    <x:row r="24" ht="40.283203125" hidden="0" customHeight="1">
      <x:c r="A24" s="3" t="inlineStr">
        <x:is>
          <x:t xml:space="preserve">Selenium|Selectors &amp; Locators|Absolute XPath / DOM-position selectors</x:t>
        </x:is>
      </x:c>
      <x:c r="B24" s="3" t="inlineStr">
        <x:is>
          <x:t xml:space="preserve">Selenium</x:t>
        </x:is>
      </x:c>
      <x:c r="C24" s="3" t="inlineStr">
        <x:is>
          <x:t xml:space="preserve">Selectors &amp; Locators</x:t>
        </x:is>
      </x:c>
      <x:c r="D24" s="3" t="inlineStr">
        <x:is>
          <x:t xml:space="preserve">Absolute XPath / DOM-position selectors</x:t>
        </x:is>
      </x:c>
      <x:c r="E24" s="3" t="inlineStr">
        <x:is>
          <x:t xml:space="preserve">High</x:t>
        </x:is>
      </x:c>
      <x:c r="F24" s="3" t="inlineStr">
        <x:is>
          <x:t xml:space="preserve">Small DOM changes break suites; frequent NoSuchElement or stale locator errors.</x:t>
        </x:is>
      </x:c>
      <x:c r="G24" s="3" t="inlineStr">
        <x:is>
          <x:t xml:space="preserve">Selectors tied to document structure instead of stable semantics.</x:t>
        </x:is>
      </x:c>
      <x:c r="H24" s="3" t="inlineStr">
        <x:is>
          <x:t xml:space="preserve">Heavy use of /html/body... or positional XPath/CSS selectors.</x:t>
        </x:is>
      </x:c>
      <x:c r="I24" s="3" t="inlineStr">
        <x:is>
          <x:t xml:space="preserve">Prefer stable ids, accessible labels, and resilient By strategies with clear intent.</x:t>
        </x:is>
      </x:c>
      <x:c r="J24" s="3" t="inlineStr">
        <x:is>
          <x:t xml:space="preserve">Replace absolute XPath with stable hooks; add test ids/accessibility support where needed.</x:t>
        </x:is>
      </x:c>
      <x:c r="K24" s="3" t="inlineStr">
        <x:is>
          <x:t xml:space="preserve">Bad: By.xpath('/html/body/div[2]/div[3]/button')
Good: By.cssSelector('[data-testid="save-button"]')</x:t>
        </x:is>
      </x:c>
      <x:c r="L24" s="3" t="inlineStr">
        <x:is>
          <x:t xml:space="preserve">Review rule: no absolute XPath; positional selectors require justification.</x:t>
        </x:is>
      </x:c>
      <x:c r="M24" s="3" t="inlineStr">
        <x:is>
          <x:t xml:space="preserve">Directly maps to locator intelligence later.</x:t>
        </x:is>
      </x:c>
      <x:c r="N24" s="3" t="str">
        <x:f>B24&amp;"|"&amp;C24&amp;"|"&amp;E24</x:f>
        <x:v>Selenium|Selectors &amp; Locators|High</x:v>
      </x:c>
      <x:c r="O24" s="3" t="inlineStr">
        <x:is>
          <x:t xml:space="preserve">Low Trust</x:t>
        </x:is>
      </x:c>
      <x:c r="P24" s="3" t="inlineStr">
        <x:is>
          <x:t xml:space="preserve">Recurring</x:t>
        </x:is>
      </x:c>
      <x:c r="Q24" s="3" t="inlineStr">
        <x:is>
          <x:t xml:space="preserve">UI</x:t>
        </x:is>
      </x:c>
      <x:c r="R24" s="3" t="inlineStr">
        <x:is>
          <x:t xml:space="preserve">16</x:t>
        </x:is>
      </x:c>
      <x:c r="S24" s="3" t="inlineStr">
        <x:is>
          <x:t xml:space="preserve">Weakens release confidence</x:t>
        </x:is>
      </x:c>
      <x:c r="T24" s="3" t="inlineStr">
        <x:is>
          <x:t xml:space="preserve">No AI</x:t>
        </x:is>
      </x:c>
      <x:c r="U24" s="14" t="n">
        <x:f>IFERROR(VLOOKUP(C24,Pricing!$A$2:$B$12,2,FALSE),"")</x:f>
        <x:v>2.5</x:v>
      </x:c>
      <x:c r="V24" s="15" t="n">
        <x:f>IFERROR(VLOOKUP(E24,Pricing!$G$2:$H$4,2,FALSE),"")</x:f>
        <x:v>1.5</x:v>
      </x:c>
      <x:c r="W24" s="15" t="n">
        <x:f>IFERROR(VLOOKUP(P24,Pricing!$J$2:$K$4,2,FALSE),"")</x:f>
        <x:v>1</x:v>
      </x:c>
      <x:c r="X24" s="15" t="n">
        <x:f>IFERROR(VLOOKUP(B24,Pricing!$D$2:$E$5,2,FALSE),"")</x:f>
        <x:v>1.25</x:v>
      </x:c>
      <x:c r="Y24" s="14" t="n">
        <x:f>IFERROR(U24*V24*W24*X24,"")</x:f>
        <x:v>4.6875</x:v>
      </x:c>
      <x:c r="Z24" s="16" t="n">
        <x:f>Pricing!$M$2</x:f>
        <x:v>215</x:v>
      </x:c>
      <x:c r="AA24" s="17" t="n">
        <x:f>IFERROR(Y24*Z24,"")</x:f>
        <x:v>1007.8125</x:v>
      </x:c>
    </x:row>
    <x:row r="25" ht="40.283203125" hidden="0" customHeight="1">
      <x:c r="A25" s="3" t="inlineStr">
        <x:is>
          <x:t xml:space="preserve">Selenium|Waiting &amp; Flakiness|Thread.sleep-based synchronization</x:t>
        </x:is>
      </x:c>
      <x:c r="B25" s="3" t="inlineStr">
        <x:is>
          <x:t xml:space="preserve">Selenium</x:t>
        </x:is>
      </x:c>
      <x:c r="C25" s="3" t="inlineStr">
        <x:is>
          <x:t xml:space="preserve">Waiting &amp; Flakiness</x:t>
        </x:is>
      </x:c>
      <x:c r="D25" s="3" t="inlineStr">
        <x:is>
          <x:t xml:space="preserve">Thread.sleep-based synchronization</x:t>
        </x:is>
      </x:c>
      <x:c r="E25" s="3" t="inlineStr">
        <x:is>
          <x:t xml:space="preserve">High</x:t>
        </x:is>
      </x:c>
      <x:c r="F25" s="3" t="inlineStr">
        <x:is>
          <x:t xml:space="preserve">Slow and flaky tests; CI variability; brittle synchronization.</x:t>
        </x:is>
      </x:c>
      <x:c r="G25" s="3" t="inlineStr">
        <x:is>
          <x:t xml:space="preserve">Time-based waiting instead of explicit conditions tied to UI readiness.</x:t>
        </x:is>
      </x:c>
      <x:c r="H25" s="3" t="inlineStr">
        <x:is>
          <x:t xml:space="preserve">Thread.sleep or arbitrary pauses used in page objects/tests.</x:t>
        </x:is>
      </x:c>
      <x:c r="I25" s="3" t="inlineStr">
        <x:is>
          <x:t xml:space="preserve">Use explicit waits with ExpectedConditions or app-specific readiness signals.</x:t>
        </x:is>
      </x:c>
      <x:c r="J25" s="3" t="inlineStr">
        <x:is>
          <x:t xml:space="preserve">Replace sleeps with WebDriverWait and explicit readiness/assertion conditions.</x:t>
        </x:is>
      </x:c>
      <x:c r="K25" s="3" t="inlineStr">
        <x:is>
          <x:t xml:space="preserve">Bad: Thread.sleep(3000)
Good: wait.until(ExpectedConditions.visibilityOf(element))</x:t>
        </x:is>
      </x:c>
      <x:c r="L25" s="3" t="inlineStr">
        <x:is>
          <x:t xml:space="preserve">Code review/lint policy: no Thread.sleep in test logic.</x:t>
        </x:is>
      </x:c>
      <x:c r="M25" s="3" t="inlineStr">
        <x:is>
          <x:t xml:space="preserve">One of the most common Selenium suite anti-patterns.</x:t>
        </x:is>
      </x:c>
      <x:c r="N25" s="3" t="str">
        <x:f>B25&amp;"|"&amp;C25&amp;"|"&amp;E25</x:f>
        <x:v>Selenium|Waiting &amp; Flakiness|High</x:v>
      </x:c>
      <x:c r="O25" s="3" t="inlineStr">
        <x:is>
          <x:t xml:space="preserve">Low Trust</x:t>
        </x:is>
      </x:c>
      <x:c r="P25" s="3" t="inlineStr">
        <x:is>
          <x:t xml:space="preserve">Recurring</x:t>
        </x:is>
      </x:c>
      <x:c r="Q25" s="3" t="inlineStr">
        <x:is>
          <x:t xml:space="preserve">UI</x:t>
        </x:is>
      </x:c>
      <x:c r="R25" s="3" t="inlineStr">
        <x:is>
          <x:t xml:space="preserve">3</x:t>
        </x:is>
      </x:c>
      <x:c r="S25" s="3" t="inlineStr">
        <x:is>
          <x:t xml:space="preserve">Blocks trust</x:t>
        </x:is>
      </x:c>
      <x:c r="T25" s="3" t="inlineStr">
        <x:is>
          <x:t xml:space="preserve">No AI</x:t>
        </x:is>
      </x:c>
      <x:c r="U25" s="14" t="n">
        <x:f>IFERROR(VLOOKUP(C25,Pricing!$A$2:$B$12,2,FALSE),"")</x:f>
        <x:v>3.5</x:v>
      </x:c>
      <x:c r="V25" s="15" t="n">
        <x:f>IFERROR(VLOOKUP(E25,Pricing!$G$2:$H$4,2,FALSE),"")</x:f>
        <x:v>1.5</x:v>
      </x:c>
      <x:c r="W25" s="15" t="n">
        <x:f>IFERROR(VLOOKUP(P25,Pricing!$J$2:$K$4,2,FALSE),"")</x:f>
        <x:v>1</x:v>
      </x:c>
      <x:c r="X25" s="15" t="n">
        <x:f>IFERROR(VLOOKUP(B25,Pricing!$D$2:$E$5,2,FALSE),"")</x:f>
        <x:v>1.25</x:v>
      </x:c>
      <x:c r="Y25" s="14" t="n">
        <x:f>IFERROR(U25*V25*W25*X25,"")</x:f>
        <x:v>6.5625</x:v>
      </x:c>
      <x:c r="Z25" s="16" t="n">
        <x:f>Pricing!$M$2</x:f>
        <x:v>215</x:v>
      </x:c>
      <x:c r="AA25" s="17" t="n">
        <x:f>IFERROR(Y25*Z25,"")</x:f>
        <x:v>1410.9375</x:v>
      </x:c>
    </x:row>
    <x:row r="26" ht="40.283203125" hidden="0" customHeight="1">
      <x:c r="A26" s="3" t="inlineStr">
        <x:is>
          <x:t xml:space="preserve">Selenium|Test Isolation &amp; State|Reusing the same browser session for auth and unauth flows</x:t>
        </x:is>
      </x:c>
      <x:c r="B26" s="3" t="inlineStr">
        <x:is>
          <x:t xml:space="preserve">Selenium</x:t>
        </x:is>
      </x:c>
      <x:c r="C26" s="3" t="inlineStr">
        <x:is>
          <x:t xml:space="preserve">Test Isolation &amp; State</x:t>
        </x:is>
      </x:c>
      <x:c r="D26" s="3" t="inlineStr">
        <x:is>
          <x:t xml:space="preserve">Reusing the same browser session for auth and unauth flows</x:t>
        </x:is>
      </x:c>
      <x:c r="E26" s="3" t="inlineStr">
        <x:is>
          <x:t xml:space="preserve">High</x:t>
        </x:is>
      </x:c>
      <x:c r="F26" s="3" t="inlineStr">
        <x:is>
          <x:t xml:space="preserve">Unauthorized checks pass incorrectly; auth state leakage between tests.</x:t>
        </x:is>
      </x:c>
      <x:c r="G26" s="3" t="inlineStr">
        <x:is>
          <x:t xml:space="preserve">Session/cookies carried across negative and positive scenarios.</x:t>
        </x:is>
      </x:c>
      <x:c r="H26" s="3" t="inlineStr">
        <x:is>
          <x:t xml:space="preserve">Negative auth tests run in same driver/session after login tests.</x:t>
        </x:is>
      </x:c>
      <x:c r="I26" s="3" t="inlineStr">
        <x:is>
          <x:t xml:space="preserve">Create clean browser/session state per scenario or explicitly reset cookies/storage.</x:t>
        </x:is>
      </x:c>
      <x:c r="J26" s="3" t="inlineStr">
        <x:is>
          <x:t xml:space="preserve">Use isolated driver lifecycle or reset auth state before sensitive scenarios.</x:t>
        </x:is>
      </x:c>
      <x:c r="K26" s="3" t="inlineStr">
        <x:is>
          <x:t xml:space="preserve">Bad: login once, run all auth and unauth checks in same session
Good: fresh driver/session for unauth tests</x:t>
        </x:is>
      </x:c>
      <x:c r="L26" s="3" t="inlineStr">
        <x:is>
          <x:t xml:space="preserve">Rule: security/unauthorized scenarios must prove clean state.</x:t>
        </x:is>
      </x:c>
      <x:c r="M26" s="3" t="inlineStr">
        <x:is>
          <x:t xml:space="preserve">A classic false-green source.</x:t>
        </x:is>
      </x:c>
      <x:c r="N26" s="3" t="str">
        <x:f>B26&amp;"|"&amp;C26&amp;"|"&amp;E26</x:f>
        <x:v>Selenium|Test Isolation &amp; State|High</x:v>
      </x:c>
      <x:c r="O26" s="3" t="inlineStr">
        <x:is>
          <x:t xml:space="preserve">Low Trust</x:t>
        </x:is>
      </x:c>
      <x:c r="P26" s="3" t="inlineStr">
        <x:is>
          <x:t xml:space="preserve">Systemic</x:t>
        </x:is>
      </x:c>
      <x:c r="Q26" s="3" t="inlineStr">
        <x:is>
          <x:t xml:space="preserve">Auth</x:t>
        </x:is>
      </x:c>
      <x:c r="R26" s="3" t="inlineStr">
        <x:is>
          <x:t xml:space="preserve">5</x:t>
        </x:is>
      </x:c>
      <x:c r="S26" s="3" t="inlineStr">
        <x:is>
          <x:t xml:space="preserve">False green risk</x:t>
        </x:is>
      </x:c>
      <x:c r="T26" s="3" t="inlineStr">
        <x:is>
          <x:t xml:space="preserve">No AI</x:t>
        </x:is>
      </x:c>
      <x:c r="U26" s="14" t="n">
        <x:f>IFERROR(VLOOKUP(C26,Pricing!$A$2:$B$12,2,FALSE),"")</x:f>
        <x:v>5</x:v>
      </x:c>
      <x:c r="V26" s="15" t="n">
        <x:f>IFERROR(VLOOKUP(E26,Pricing!$G$2:$H$4,2,FALSE),"")</x:f>
        <x:v>1.5</x:v>
      </x:c>
      <x:c r="W26" s="15" t="n">
        <x:f>IFERROR(VLOOKUP(P26,Pricing!$J$2:$K$4,2,FALSE),"")</x:f>
        <x:v>1.75</x:v>
      </x:c>
      <x:c r="X26" s="15" t="n">
        <x:f>IFERROR(VLOOKUP(B26,Pricing!$D$2:$E$5,2,FALSE),"")</x:f>
        <x:v>1.25</x:v>
      </x:c>
      <x:c r="Y26" s="14" t="n">
        <x:f>IFERROR(U26*V26*W26*X26,"")</x:f>
        <x:v>16.40625</x:v>
      </x:c>
      <x:c r="Z26" s="16" t="n">
        <x:f>Pricing!$M$2</x:f>
        <x:v>215</x:v>
      </x:c>
      <x:c r="AA26" s="17" t="n">
        <x:f>IFERROR(Y26*Z26,"")</x:f>
        <x:v>3527.34375</x:v>
      </x:c>
    </x:row>
    <x:row r="27" ht="40.283203125" hidden="0" customHeight="1">
      <x:c r="A27" s="3" t="inlineStr">
        <x:is>
          <x:t xml:space="preserve">Selenium|Parallelism &amp; Concurrency|Static driver/shared test data across parallel runs</x:t>
        </x:is>
      </x:c>
      <x:c r="B27" s="3" t="inlineStr">
        <x:is>
          <x:t xml:space="preserve">Selenium</x:t>
        </x:is>
      </x:c>
      <x:c r="C27" s="3" t="inlineStr">
        <x:is>
          <x:t xml:space="preserve">Parallelism &amp; Concurrency</x:t>
        </x:is>
      </x:c>
      <x:c r="D27" s="3" t="inlineStr">
        <x:is>
          <x:t xml:space="preserve">Static driver/shared test data across parallel runs</x:t>
        </x:is>
      </x:c>
      <x:c r="E27" s="3" t="inlineStr">
        <x:is>
          <x:t xml:space="preserve">High</x:t>
        </x:is>
      </x:c>
      <x:c r="F27" s="3" t="inlineStr">
        <x:is>
          <x:t xml:space="preserve">Parallel collisions, nondeterministic failures, driver contamination.</x:t>
        </x:is>
      </x:c>
      <x:c r="G27" s="3" t="inlineStr">
        <x:is>
          <x:t xml:space="preserve">Static WebDriver instances or shared mutable data/resources.</x:t>
        </x:is>
      </x:c>
      <x:c r="H27" s="3" t="inlineStr">
        <x:is>
          <x:t xml:space="preserve">Parallel-only failures; tests pass serially but fail under concurrent execution.</x:t>
        </x:is>
      </x:c>
      <x:c r="I27" s="3" t="inlineStr">
        <x:is>
          <x:t xml:space="preserve">Use per-test/per-thread driver management and unique data ownership.</x:t>
        </x:is>
      </x:c>
      <x:c r="J27" s="3" t="inlineStr">
        <x:is>
          <x:t xml:space="preserve">Eliminate static shared state; introduce thread-safe driver factories and unique data creation.</x:t>
        </x:is>
      </x:c>
      <x:c r="K27" s="3" t="inlineStr">
        <x:is>
          <x:t xml:space="preserve">Bad: static WebDriver driver;
Good: ThreadLocal driver + per-test unique fixtures</x:t>
        </x:is>
      </x:c>
      <x:c r="L27" s="3" t="inlineStr">
        <x:is>
          <x:t xml:space="preserve">Run with parallel execution in CI and monitor for collision patterns.</x:t>
        </x:is>
      </x:c>
      <x:c r="M27" s="3" t="inlineStr">
        <x:is>
          <x:t xml:space="preserve">Needed before any real scaling claims.</x:t>
        </x:is>
      </x:c>
      <x:c r="N27" s="3" t="str">
        <x:f>B27&amp;"|"&amp;C27&amp;"|"&amp;E27</x:f>
        <x:v>Selenium|Parallelism &amp; Concurrency|High</x:v>
      </x:c>
      <x:c r="O27" s="3" t="inlineStr">
        <x:is>
          <x:t xml:space="preserve">Low Trust</x:t>
        </x:is>
      </x:c>
      <x:c r="P27" s="3" t="inlineStr">
        <x:is>
          <x:t xml:space="preserve">Systemic</x:t>
        </x:is>
      </x:c>
      <x:c r="Q27" s="3" t="inlineStr">
        <x:is>
          <x:t xml:space="preserve">Data</x:t>
        </x:is>
      </x:c>
      <x:c r="R27" s="3" t="inlineStr">
        <x:is>
          <x:t xml:space="preserve">5</x:t>
        </x:is>
      </x:c>
      <x:c r="S27" s="3" t="inlineStr">
        <x:is>
          <x:t xml:space="preserve">Blocks trust</x:t>
        </x:is>
      </x:c>
      <x:c r="T27" s="3" t="inlineStr">
        <x:is>
          <x:t xml:space="preserve">No AI</x:t>
        </x:is>
      </x:c>
      <x:c r="U27" s="14" t="n">
        <x:f>IFERROR(VLOOKUP(C27,Pricing!$A$2:$B$12,2,FALSE),"")</x:f>
        <x:v>6</x:v>
      </x:c>
      <x:c r="V27" s="15" t="n">
        <x:f>IFERROR(VLOOKUP(E27,Pricing!$G$2:$H$4,2,FALSE),"")</x:f>
        <x:v>1.5</x:v>
      </x:c>
      <x:c r="W27" s="15" t="n">
        <x:f>IFERROR(VLOOKUP(P27,Pricing!$J$2:$K$4,2,FALSE),"")</x:f>
        <x:v>1.75</x:v>
      </x:c>
      <x:c r="X27" s="15" t="n">
        <x:f>IFERROR(VLOOKUP(B27,Pricing!$D$2:$E$5,2,FALSE),"")</x:f>
        <x:v>1.25</x:v>
      </x:c>
      <x:c r="Y27" s="14" t="n">
        <x:f>IFERROR(U27*V27*W27*X27,"")</x:f>
        <x:v>19.6875</x:v>
      </x:c>
      <x:c r="Z27" s="16" t="n">
        <x:f>Pricing!$M$2</x:f>
        <x:v>215</x:v>
      </x:c>
      <x:c r="AA27" s="17" t="n">
        <x:f>IFERROR(Y27*Z27,"")</x:f>
        <x:v>4232.8125</x:v>
      </x:c>
    </x:row>
    <x:row r="28" ht="53.7109375" hidden="0" customHeight="1">
      <x:c r="A28" s="3" t="inlineStr">
        <x:is>
          <x:t xml:space="preserve">Selenium|Reporting &amp; Debuggability|No screenshot / page source / browser log capture on failure</x:t>
        </x:is>
      </x:c>
      <x:c r="B28" s="3" t="inlineStr">
        <x:is>
          <x:t xml:space="preserve">Selenium</x:t>
        </x:is>
      </x:c>
      <x:c r="C28" s="3" t="inlineStr">
        <x:is>
          <x:t xml:space="preserve">Reporting &amp; Debuggability</x:t>
        </x:is>
      </x:c>
      <x:c r="D28" s="3" t="inlineStr">
        <x:is>
          <x:t xml:space="preserve">No screenshot / page source / browser log capture on failure</x:t>
        </x:is>
      </x:c>
      <x:c r="E28" s="3" t="inlineStr">
        <x:is>
          <x:t xml:space="preserve">Medium</x:t>
        </x:is>
      </x:c>
      <x:c r="F28" s="3" t="inlineStr">
        <x:is>
          <x:t xml:space="preserve">Failures are hard to explain without rerunning locally.</x:t>
        </x:is>
      </x:c>
      <x:c r="G28" s="3" t="inlineStr">
        <x:is>
          <x:t xml:space="preserve">Failure hooks do not collect enough evidence.</x:t>
        </x:is>
      </x:c>
      <x:c r="H28" s="3" t="inlineStr">
        <x:is>
          <x:t xml:space="preserve">CI failures have stack traces only; no browser-state artifacts.</x:t>
        </x:is>
      </x:c>
      <x:c r="I28" s="3" t="inlineStr">
        <x:is>
          <x:t xml:space="preserve">Capture screenshot, DOM/source, driver logs, and relevant environment context on failure.</x:t>
        </x:is>
      </x:c>
      <x:c r="J28" s="3" t="inlineStr">
        <x:is>
          <x:t xml:space="preserve">Add after-failure hooks to persist artifacts; standardize paths and retention.</x:t>
        </x:is>
      </x:c>
      <x:c r="K28" s="3" t="inlineStr">
        <x:is>
          <x:t xml:space="preserve">Bad: exception stack trace only
Good: screenshot + HTML source + browser logs attached</x:t>
        </x:is>
      </x:c>
      <x:c r="L28" s="3" t="inlineStr">
        <x:is>
          <x:t xml:space="preserve">Failed Selenium jobs must attach evidence bundle.</x:t>
        </x:is>
      </x:c>
      <x:c r="M28" s="3" t="inlineStr">
        <x:is>
          <x:t xml:space="preserve">Feeds artifact contract and triage layers.</x:t>
        </x:is>
      </x:c>
      <x:c r="N28" s="3" t="str">
        <x:f>B28&amp;"|"&amp;C28&amp;"|"&amp;E28</x:f>
        <x:v>Selenium|Reporting &amp; Debuggability|Medium</x:v>
      </x:c>
      <x:c r="O28" s="3" t="inlineStr">
        <x:is>
          <x:t xml:space="preserve">Low Trust</x:t>
        </x:is>
      </x:c>
      <x:c r="P28" s="3" t="inlineStr">
        <x:is>
          <x:t xml:space="preserve">Systemic</x:t>
        </x:is>
      </x:c>
      <x:c r="Q28" s="3" t="inlineStr">
        <x:is>
          <x:t xml:space="preserve">CI</x:t>
        </x:is>
      </x:c>
      <x:c r="R28" s="3" t="inlineStr">
        <x:is>
          <x:t xml:space="preserve">3</x:t>
        </x:is>
      </x:c>
      <x:c r="S28" s="3" t="inlineStr">
        <x:is>
          <x:t xml:space="preserve">Slows diagnosis</x:t>
        </x:is>
      </x:c>
      <x:c r="T28" s="3" t="inlineStr">
        <x:is>
          <x:t xml:space="preserve">No AI</x:t>
        </x:is>
      </x:c>
      <x:c r="U28" s="14" t="n">
        <x:f>IFERROR(VLOOKUP(C28,Pricing!$A$2:$B$12,2,FALSE),"")</x:f>
        <x:v>2</x:v>
      </x:c>
      <x:c r="V28" s="15" t="n">
        <x:f>IFERROR(VLOOKUP(E28,Pricing!$G$2:$H$4,2,FALSE),"")</x:f>
        <x:v>1</x:v>
      </x:c>
      <x:c r="W28" s="15" t="n">
        <x:f>IFERROR(VLOOKUP(P28,Pricing!$J$2:$K$4,2,FALSE),"")</x:f>
        <x:v>1.75</x:v>
      </x:c>
      <x:c r="X28" s="15" t="n">
        <x:f>IFERROR(VLOOKUP(B28,Pricing!$D$2:$E$5,2,FALSE),"")</x:f>
        <x:v>1.25</x:v>
      </x:c>
      <x:c r="Y28" s="14" t="n">
        <x:f>IFERROR(U28*V28*W28*X28,"")</x:f>
        <x:v>4.375</x:v>
      </x:c>
      <x:c r="Z28" s="16" t="n">
        <x:f>Pricing!$M$2</x:f>
        <x:v>215</x:v>
      </x:c>
      <x:c r="AA28" s="17" t="n">
        <x:f>IFERROR(Y28*Z28,"")</x:f>
        <x:v>940.625</x:v>
      </x:c>
    </x:row>
    <x:row r="29" ht="40.283203125" hidden="0" customHeight="1">
      <x:c r="A29" s="3" t="inlineStr">
        <x:is>
          <x:t xml:space="preserve">Selenium|Performance &amp; Timeouts|Overusing implicit waits / raising global timeouts</x:t>
        </x:is>
      </x:c>
      <x:c r="B29" s="3" t="inlineStr">
        <x:is>
          <x:t xml:space="preserve">Selenium</x:t>
        </x:is>
      </x:c>
      <x:c r="C29" s="3" t="inlineStr">
        <x:is>
          <x:t xml:space="preserve">Performance &amp; Timeouts</x:t>
        </x:is>
      </x:c>
      <x:c r="D29" s="3" t="inlineStr">
        <x:is>
          <x:t xml:space="preserve">Overusing implicit waits / raising global timeouts</x:t>
        </x:is>
      </x:c>
      <x:c r="E29" s="3" t="inlineStr">
        <x:is>
          <x:t xml:space="preserve">Medium</x:t>
        </x:is>
      </x:c>
      <x:c r="F29" s="3" t="inlineStr">
        <x:is>
          <x:t xml:space="preserve">Masked synchronization issues; long-running suites; ambiguous failures.</x:t>
        </x:is>
      </x:c>
      <x:c r="G29" s="3" t="inlineStr">
        <x:is>
          <x:t xml:space="preserve">Global waits compensate for missing explicit readiness logic.</x:t>
        </x:is>
      </x:c>
      <x:c r="H29" s="3" t="inlineStr">
        <x:is>
          <x:t xml:space="preserve">High implicit wait settings; recurring timeout inflation in reviews.</x:t>
        </x:is>
      </x:c>
      <x:c r="I29" s="3" t="inlineStr">
        <x:is>
          <x:t xml:space="preserve">Keep implicit waits minimal and rely on targeted explicit waits.</x:t>
        </x:is>
      </x:c>
      <x:c r="J29" s="3" t="inlineStr">
        <x:is>
          <x:t xml:space="preserve">Reduce global waits; add explicit wait utilities aligned to real page/application signals.</x:t>
        </x:is>
      </x:c>
      <x:c r="K29" s="3" t="inlineStr">
        <x:is>
          <x:t xml:space="preserve">Bad: driver.manage().timeouts().implicitlyWait(30, SECONDS)
Good: minimal implicit wait + targeted WebDriverWait</x:t>
        </x:is>
      </x:c>
      <x:c r="L29" s="3" t="inlineStr">
        <x:is>
          <x:t xml:space="preserve">Review rule: justify timeout increases with evidence.</x:t>
        </x:is>
      </x:c>
      <x:c r="M29" s="3" t="inlineStr">
        <x:is>
          <x:t xml:space="preserve">Often hides root-cause synchronization debt.</x:t>
        </x:is>
      </x:c>
      <x:c r="N29" s="3" t="str">
        <x:f>B29&amp;"|"&amp;C29&amp;"|"&amp;E29</x:f>
        <x:v>Selenium|Performance &amp; Timeouts|Medium</x:v>
      </x:c>
      <x:c r="O29" s="3" t="inlineStr">
        <x:is>
          <x:t xml:space="preserve">Medium Trust</x:t>
        </x:is>
      </x:c>
      <x:c r="P29" s="3" t="inlineStr">
        <x:is>
          <x:t xml:space="preserve">Recurring</x:t>
        </x:is>
      </x:c>
      <x:c r="Q29" s="3" t="inlineStr">
        <x:is>
          <x:t xml:space="preserve">UI</x:t>
        </x:is>
      </x:c>
      <x:c r="R29" s="3" t="inlineStr">
        <x:is>
          <x:t xml:space="preserve">4</x:t>
        </x:is>
      </x:c>
      <x:c r="S29" s="3" t="inlineStr">
        <x:is>
          <x:t xml:space="preserve">Weakens release confidence</x:t>
        </x:is>
      </x:c>
      <x:c r="T29" s="3" t="inlineStr">
        <x:is>
          <x:t xml:space="preserve">Some AI</x:t>
        </x:is>
      </x:c>
      <x:c r="U29" s="14" t="n">
        <x:f>IFERROR(VLOOKUP(C29,Pricing!$A$2:$B$12,2,FALSE),"")</x:f>
        <x:v>3</x:v>
      </x:c>
      <x:c r="V29" s="15" t="n">
        <x:f>IFERROR(VLOOKUP(E29,Pricing!$G$2:$H$4,2,FALSE),"")</x:f>
        <x:v>1</x:v>
      </x:c>
      <x:c r="W29" s="15" t="n">
        <x:f>IFERROR(VLOOKUP(P29,Pricing!$J$2:$K$4,2,FALSE),"")</x:f>
        <x:v>1</x:v>
      </x:c>
      <x:c r="X29" s="15" t="n">
        <x:f>IFERROR(VLOOKUP(B29,Pricing!$D$2:$E$5,2,FALSE),"")</x:f>
        <x:v>1.25</x:v>
      </x:c>
      <x:c r="Y29" s="14" t="n">
        <x:f>IFERROR(U29*V29*W29*X29,"")</x:f>
        <x:v>3.75</x:v>
      </x:c>
      <x:c r="Z29" s="16" t="n">
        <x:f>Pricing!$M$2</x:f>
        <x:v>215</x:v>
      </x:c>
      <x:c r="AA29" s="17" t="n">
        <x:f>IFERROR(Y29*Z29,"")</x:f>
        <x:v>806.25</x:v>
      </x:c>
    </x:row>
    <x:row r="30" ht="53.7109375" hidden="0" customHeight="1">
      <x:c r="A30" s="3" t="inlineStr">
        <x:is>
          <x:t xml:space="preserve">Selenium|Code Structure &amp; Maintainability|Page objects mixing navigation, actions, waits, and assertions</x:t>
        </x:is>
      </x:c>
      <x:c r="B30" s="3" t="inlineStr">
        <x:is>
          <x:t xml:space="preserve">Selenium</x:t>
        </x:is>
      </x:c>
      <x:c r="C30" s="3" t="inlineStr">
        <x:is>
          <x:t xml:space="preserve">Code Structure &amp; Maintainability</x:t>
        </x:is>
      </x:c>
      <x:c r="D30" s="3" t="inlineStr">
        <x:is>
          <x:t xml:space="preserve">Page objects mixing navigation, actions, waits, and assertions</x:t>
        </x:is>
      </x:c>
      <x:c r="E30" s="3" t="inlineStr">
        <x:is>
          <x:t xml:space="preserve">Medium</x:t>
        </x:is>
      </x:c>
      <x:c r="F30" s="3" t="inlineStr">
        <x:is>
          <x:t xml:space="preserve">Hard-to-maintain abstractions; unclear ownership; brittle updates.</x:t>
        </x:is>
      </x:c>
      <x:c r="G30" s="3" t="inlineStr">
        <x:is>
          <x:t xml:space="preserve">Page layer becomes a dumping ground instead of a stable interaction abstraction.</x:t>
        </x:is>
      </x:c>
      <x:c r="H30" s="3" t="inlineStr">
        <x:is>
          <x:t xml:space="preserve">Assertions embedded in page methods; duplicated wait logic across page classes.</x:t>
        </x:is>
      </x:c>
      <x:c r="I30" s="3" t="inlineStr">
        <x:is>
          <x:t xml:space="preserve">Keep page objects focused on locators and actions; assertions live in tests or dedicated validators.</x:t>
        </x:is>
      </x:c>
      <x:c r="J30" s="3" t="inlineStr">
        <x:is>
          <x:t xml:space="preserve">Refactor assertion logic out of page objects; centralize waits/helpers deliberately.</x:t>
        </x:is>
      </x:c>
      <x:c r="K30" s="3" t="inlineStr">
        <x:is>
          <x:t xml:space="preserve">Bad: LoginPage.loginAndAssertHome()
Good: LoginPage.login(); test asserts expected state</x:t>
        </x:is>
      </x:c>
      <x:c r="L30" s="3" t="inlineStr">
        <x:is>
          <x:t xml:space="preserve">Review checklist: page objects should not hide assertions or mixed responsibilities.</x:t>
        </x:is>
      </x:c>
      <x:c r="M30" s="3" t="inlineStr">
        <x:is>
          <x:t xml:space="preserve">Maps to scale and maintainability work.</x:t>
        </x:is>
      </x:c>
      <x:c r="N30" s="3" t="str">
        <x:f>B30&amp;"|"&amp;C30&amp;"|"&amp;E30</x:f>
        <x:v>Selenium|Code Structure &amp; Maintainability|Medium</x:v>
      </x:c>
      <x:c r="O30" s="3" t="inlineStr">
        <x:is>
          <x:t xml:space="preserve">Medium Trust</x:t>
        </x:is>
      </x:c>
      <x:c r="P30" s="3" t="inlineStr">
        <x:is>
          <x:t xml:space="preserve">Systemic</x:t>
        </x:is>
      </x:c>
      <x:c r="Q30" s="3" t="inlineStr">
        <x:is>
          <x:t xml:space="preserve">Code</x:t>
        </x:is>
      </x:c>
      <x:c r="R30" s="3" t="inlineStr">
        <x:is>
          <x:t xml:space="preserve">8</x:t>
        </x:is>
      </x:c>
      <x:c r="S30" s="3" t="inlineStr">
        <x:is>
          <x:t xml:space="preserve">Scalability risk only</x:t>
        </x:is>
      </x:c>
      <x:c r="T30" s="3" t="inlineStr">
        <x:is>
          <x:t xml:space="preserve">Some AI</x:t>
        </x:is>
      </x:c>
      <x:c r="U30" s="14" t="n">
        <x:f>IFERROR(VLOOKUP(C30,Pricing!$A$2:$B$12,2,FALSE),"")</x:f>
        <x:v>4</x:v>
      </x:c>
      <x:c r="V30" s="15" t="n">
        <x:f>IFERROR(VLOOKUP(E30,Pricing!$G$2:$H$4,2,FALSE),"")</x:f>
        <x:v>1</x:v>
      </x:c>
      <x:c r="W30" s="15" t="n">
        <x:f>IFERROR(VLOOKUP(P30,Pricing!$J$2:$K$4,2,FALSE),"")</x:f>
        <x:v>1.75</x:v>
      </x:c>
      <x:c r="X30" s="15" t="n">
        <x:f>IFERROR(VLOOKUP(B30,Pricing!$D$2:$E$5,2,FALSE),"")</x:f>
        <x:v>1.25</x:v>
      </x:c>
      <x:c r="Y30" s="14" t="n">
        <x:f>IFERROR(U30*V30*W30*X30,"")</x:f>
        <x:v>8.75</x:v>
      </x:c>
      <x:c r="Z30" s="16" t="n">
        <x:f>Pricing!$M$2</x:f>
        <x:v>215</x:v>
      </x:c>
      <x:c r="AA30" s="17" t="n">
        <x:f>IFERROR(Y30*Z30,"")</x:f>
        <x:v>1881.25</x:v>
      </x:c>
    </x:row>
    <x:row r="31" ht="26.85546875" hidden="0" customHeight="1">
      <x:c r="A31" t="str">
        <x:v>Cypress|Fixtures &amp; Setup/Teardown|Overgrown beforeEach / custom commands hiding setup state</x:v>
      </x:c>
      <x:c r="B31" t="str">
        <x:v>Cypress</x:v>
      </x:c>
      <x:c r="C31" t="str">
        <x:v>Fixtures &amp; Setup/Teardown</x:v>
      </x:c>
      <x:c r="D31" t="str">
        <x:v>Overgrown beforeEach / custom commands hiding setup state</x:v>
      </x:c>
      <x:c r="E31" t="str">
        <x:v>Medium</x:v>
      </x:c>
      <x:c r="F31" t="str">
        <x:v>Tests are hard to reason about; failures appear far from the real setup cause.</x:v>
      </x:c>
      <x:c r="G31" t="str">
        <x:v>Critical setup is hidden in support files, beforeEach hooks, or custom commands with broad side effects.</x:v>
      </x:c>
      <x:c r="H31" t="str">
        <x:v>Large beforeEach blocks; custom commands that log in, seed data, navigate, and assert in one step.</x:v>
      </x:c>
      <x:c r="I31" t="str">
        <x:v>Keep setup explicit and narrow; custom commands should be composable and side-effect aware.</x:v>
      </x:c>
      <x:c r="J31" t="str">
        <x:v>Reduce beforeEach scope; split commands by responsibility; make auth/data setup visible in the spec or helper layer.</x:v>
      </x:c>
      <x:c r="K31" t="str">
        <x:v>Bad: beforeEach(() =&gt; { cy.login(); cy.seedAll(); cy.visit('/dashboard'); })
Good: cy.sessionLogin(); cy.createArticle(data); cy.visit('/dashboard')</x:v>
      </x:c>
      <x:c r="L31" t="str">
        <x:v>Review rule: broad beforeEach/custom commands must justify hidden setup and side effects.</x:v>
      </x:c>
      <x:c r="M31" t="str">
        <x:v>Cypress setup drift often creates false confidence and hard-to-diagnose failures.</x:v>
      </x:c>
      <x:c r="N31" t="str">
        <x:f>B31&amp;"|"&amp;C31&amp;"|"&amp;E31</x:f>
        <x:v>Cypress|Fixtures &amp; Setup/Teardown|Medium</x:v>
      </x:c>
      <x:c r="O31" t="str">
        <x:v>Medium Trust</x:v>
      </x:c>
      <x:c r="P31" t="str">
        <x:v>Recurring</x:v>
      </x:c>
      <x:c r="Q31" t="str">
        <x:v>Code</x:v>
      </x:c>
      <x:c r="R31" t="str">
        <x:v>10</x:v>
      </x:c>
      <x:c r="S31" t="str">
        <x:v>Slows diagnosis</x:v>
      </x:c>
      <x:c r="T31" t="str">
        <x:v>Some AI</x:v>
      </x:c>
      <x:c r="U31" t="n">
        <x:f>IFERROR(VLOOKUP(C31,Pricing!$A$2:$B$12,2,FALSE),"")</x:f>
        <x:v>3</x:v>
      </x:c>
      <x:c r="V31" t="n">
        <x:f>IFERROR(VLOOKUP(E31,Pricing!$G$2:$H$4,2,FALSE),"")</x:f>
        <x:v>1</x:v>
      </x:c>
      <x:c r="W31" t="n">
        <x:f>IFERROR(VLOOKUP(P31,Pricing!$J$2:$K$4,2,FALSE),"")</x:f>
        <x:v>1</x:v>
      </x:c>
      <x:c r="X31" t="n">
        <x:f>IFERROR(VLOOKUP(B31,Pricing!$D$2:$E$5,2,FALSE),"")</x:f>
        <x:v>1</x:v>
      </x:c>
      <x:c r="Y31" t="n">
        <x:f>IFERROR(U31*V31*W31*X31,"")</x:f>
        <x:v>3</x:v>
      </x:c>
      <x:c r="Z31" t="n">
        <x:f>Pricing!$M$2</x:f>
        <x:v>215</x:v>
      </x:c>
      <x:c r="AA31" t="n">
        <x:f>IFERROR(Y31*Z31,"")</x:f>
        <x:v>645</x:v>
      </x:c>
    </x:row>
    <x:row r="32" ht="26.85546875" hidden="0" customHeight="1">
      <x:c r="A32" t="str">
        <x:v>Cypress|Performance &amp; Timeouts|Inflating defaultCommandTimeout / retries instead of fixing signals</x:v>
      </x:c>
      <x:c r="B32" t="str">
        <x:v>Cypress</x:v>
      </x:c>
      <x:c r="C32" t="str">
        <x:v>Performance &amp; Timeouts</x:v>
      </x:c>
      <x:c r="D32" t="str">
        <x:v>Inflating defaultCommandTimeout / retries instead of fixing signals</x:v>
      </x:c>
      <x:c r="E32" t="str">
        <x:v>Medium</x:v>
      </x:c>
      <x:c r="F32" t="str">
        <x:v>Suites get slower while root-cause synchronization issues remain unresolved.</x:v>
      </x:c>
      <x:c r="G32" t="str">
        <x:v>Global timeout and retry increases compensate for missing deterministic readiness signals.</x:v>
      </x:c>
      <x:c r="H32" t="str">
        <x:v>Repeated increases to defaultCommandTimeout/requestTimeout/retries after flaky failures.</x:v>
      </x:c>
      <x:c r="I32" t="str">
        <x:v>Keep global timeouts restrained and fix the actual UI/API readiness signals.</x:v>
      </x:c>
      <x:c r="J32" t="str">
        <x:v>Reduce broad timeout inflation; add targeted waits around route completion, visible state, or stable API conditions.</x:v>
      </x:c>
      <x:c r="K32" t="str">
        <x:v>Bad: defaultCommandTimeout: 20000, retries: 3
Good: lean defaults + cy.intercept(...).as('save'); cy.wait('@save')</x:v>
      </x:c>
      <x:c r="L32" t="str">
        <x:v>Policy: timeout or retry increases require evidence and a root-cause note.</x:v>
      </x:c>
      <x:c r="M32" t="str">
        <x:v>Timeout inflation can make Cypress look stable while simply masking debt.</x:v>
      </x:c>
      <x:c r="N32" t="str">
        <x:f>B32&amp;"|"&amp;C32&amp;"|"&amp;E32</x:f>
        <x:v>Cypress|Performance &amp; Timeouts|Medium</x:v>
      </x:c>
      <x:c r="O32" t="str">
        <x:v>Medium Trust</x:v>
      </x:c>
      <x:c r="P32" t="str">
        <x:v>Recurring</x:v>
      </x:c>
      <x:c r="Q32" t="str">
        <x:v>UI</x:v>
      </x:c>
      <x:c r="R32" t="str">
        <x:v>9</x:v>
      </x:c>
      <x:c r="S32" t="str">
        <x:v>Weakens release confidence</x:v>
      </x:c>
      <x:c r="T32" t="str">
        <x:v>Some AI</x:v>
      </x:c>
      <x:c r="U32" t="n">
        <x:f>IFERROR(VLOOKUP(C32,Pricing!$A$2:$B$12,2,FALSE),"")</x:f>
        <x:v>3</x:v>
      </x:c>
      <x:c r="V32" t="n">
        <x:f>IFERROR(VLOOKUP(E32,Pricing!$G$2:$H$4,2,FALSE),"")</x:f>
        <x:v>1</x:v>
      </x:c>
      <x:c r="W32" t="n">
        <x:f>IFERROR(VLOOKUP(P32,Pricing!$J$2:$K$4,2,FALSE),"")</x:f>
        <x:v>1</x:v>
      </x:c>
      <x:c r="X32" t="n">
        <x:f>IFERROR(VLOOKUP(B32,Pricing!$D$2:$E$5,2,FALSE),"")</x:f>
        <x:v>1</x:v>
      </x:c>
      <x:c r="Y32" t="n">
        <x:f>IFERROR(U32*V32*W32*X32,"")</x:f>
        <x:v>3</x:v>
      </x:c>
      <x:c r="Z32" t="n">
        <x:f>Pricing!$M$2</x:f>
        <x:v>215</x:v>
      </x:c>
      <x:c r="AA32" t="n">
        <x:f>IFERROR(Y32*Z32,"")</x:f>
        <x:v>645</x:v>
      </x:c>
    </x:row>
    <x:row r="33" ht="26.85546875" hidden="0" customHeight="1">
      <x:c r="A33" t="str">
        <x:v>Cypress|Code Structure &amp; Maintainability|Custom commands/spec helpers mixing navigation, actions, waits, and assertions</x:v>
      </x:c>
      <x:c r="B33" t="str">
        <x:v>Cypress</x:v>
      </x:c>
      <x:c r="C33" t="str">
        <x:v>Code Structure &amp; Maintainability</x:v>
      </x:c>
      <x:c r="D33" t="str">
        <x:v>Custom commands/spec helpers mixing navigation, actions, waits, and assertions</x:v>
      </x:c>
      <x:c r="E33" t="str">
        <x:v>Medium</x:v>
      </x:c>
      <x:c r="F33" t="str">
        <x:v>Abstractions become opaque; changes are risky; tests are hard to debug and extend.</x:v>
      </x:c>
      <x:c r="G33" t="str">
        <x:v>Helpers hide too many responsibilities and blur the line between interaction and verification.</x:v>
      </x:c>
      <x:c r="H33" t="str">
        <x:v>Commands named like business actions but containing visit, click, wait, and assert logic together.</x:v>
      </x:c>
      <x:c r="I33" t="str">
        <x:v>Keep helpers focused; separate navigation/actions from assertions and keep waits deliberate.</x:v>
      </x:c>
      <x:c r="J33" t="str">
        <x:v>Refactor custom commands and helper modules so interactions remain reusable and assertions stay at the spec layer or dedicated validators.</x:v>
      </x:c>
      <x:c r="K33" t="str">
        <x:v>Bad: cy.loginAndVerifyHome()
Good: cy.login(); cy.url().should('include', '/home')</x:v>
      </x:c>
      <x:c r="L33" t="str">
        <x:v>Checklist: custom commands should not silently combine navigation, waits, and assertions.</x:v>
      </x:c>
      <x:c r="M33" t="str">
        <x:v>Needed for a Cypress suite to scale without helper sprawl.</x:v>
      </x:c>
      <x:c r="N33" t="str">
        <x:f>B33&amp;"|"&amp;C33&amp;"|"&amp;E33</x:f>
        <x:v>Cypress|Code Structure &amp; Maintainability|Medium</x:v>
      </x:c>
      <x:c r="O33" t="str">
        <x:v>Medium Trust</x:v>
      </x:c>
      <x:c r="P33" t="str">
        <x:v>Systemic</x:v>
      </x:c>
      <x:c r="Q33" t="str">
        <x:v>Code</x:v>
      </x:c>
      <x:c r="R33" t="str">
        <x:v>11</x:v>
      </x:c>
      <x:c r="S33" t="str">
        <x:v>Scalability risk only</x:v>
      </x:c>
      <x:c r="T33" t="str">
        <x:v>Some AI</x:v>
      </x:c>
      <x:c r="U33" t="n">
        <x:f>IFERROR(VLOOKUP(C33,Pricing!$A$2:$B$12,2,FALSE),"")</x:f>
        <x:v>4</x:v>
      </x:c>
      <x:c r="V33" t="n">
        <x:f>IFERROR(VLOOKUP(E33,Pricing!$G$2:$H$4,2,FALSE),"")</x:f>
        <x:v>1</x:v>
      </x:c>
      <x:c r="W33" t="n">
        <x:f>IFERROR(VLOOKUP(P33,Pricing!$J$2:$K$4,2,FALSE),"")</x:f>
        <x:v>1.75</x:v>
      </x:c>
      <x:c r="X33" t="n">
        <x:f>IFERROR(VLOOKUP(B33,Pricing!$D$2:$E$5,2,FALSE),"")</x:f>
        <x:v>1</x:v>
      </x:c>
      <x:c r="Y33" t="n">
        <x:f>IFERROR(U33*V33*W33*X33,"")</x:f>
        <x:v>7</x:v>
      </x:c>
      <x:c r="Z33" t="n">
        <x:f>Pricing!$M$2</x:f>
        <x:v>215</x:v>
      </x:c>
      <x:c r="AA33" t="n">
        <x:f>IFERROR(Y33*Z33,"")</x:f>
        <x:v>1505</x:v>
      </x:c>
    </x:row>
    <x:row r="34" ht="26.85546875" hidden="0" customHeight="1">
      <x:c r="A34" t="str">
        <x:v>Selenium|Fixtures &amp; Setup/Teardown|Base test classes / @BeforeEach doing too much hidden setup</x:v>
      </x:c>
      <x:c r="B34" t="str">
        <x:v>Selenium</x:v>
      </x:c>
      <x:c r="C34" t="str">
        <x:v>Fixtures &amp; Setup/Teardown</x:v>
      </x:c>
      <x:c r="D34" t="str">
        <x:v>Base test classes / @BeforeEach doing too much hidden setup</x:v>
      </x:c>
      <x:c r="E34" t="str">
        <x:v>Medium</x:v>
      </x:c>
      <x:c r="F34" t="str">
        <x:v>Tests inherit hidden behavior; setup bugs spread broadly; intent is hard to see from the test body.</x:v>
      </x:c>
      <x:c r="G34" t="str">
        <x:v>Shared base classes or lifecycle hooks take on navigation, auth, data seeding, and environment mutation.</x:v>
      </x:c>
      <x:c r="H34" t="str">
        <x:v>Large @Before/@BeforeEach methods; test classes that rely on inherited hidden driver/login/data setup.</x:v>
      </x:c>
      <x:c r="I34" t="str">
        <x:v>Keep shared setup minimal and visible; compose only the setup each test actually needs.</x:v>
      </x:c>
      <x:c r="J34" t="str">
        <x:v>Shrink lifecycle hooks; move broad setup into explicit helpers/builders; keep driver creation and data setup narrowly scoped.</x:v>
      </x:c>
      <x:c r="K34" t="str">
        <x:v>Bad: @BeforeEach bootAppAndLoginAndSeedEverything()
Good: @BeforeEach createDriver(); test calls explicit login helper when needed</x:v>
      </x:c>
      <x:c r="L34" t="str">
        <x:v>Review rule: lifecycle hooks should not hide broad business setup.</x:v>
      </x:c>
      <x:c r="M34" t="str">
        <x:v>Common in older Selenium suites that grew through inheritance-heavy patterns.</x:v>
      </x:c>
      <x:c r="N34" t="str">
        <x:f>B34&amp;"|"&amp;C34&amp;"|"&amp;E34</x:f>
        <x:v>Selenium|Fixtures &amp; Setup/Teardown|Medium</x:v>
      </x:c>
      <x:c r="O34" t="str">
        <x:v>Medium Trust</x:v>
      </x:c>
      <x:c r="P34" t="str">
        <x:v>Systemic</x:v>
      </x:c>
      <x:c r="Q34" t="str">
        <x:v>Code</x:v>
      </x:c>
      <x:c r="R34" t="str">
        <x:v>8</x:v>
      </x:c>
      <x:c r="S34" t="str">
        <x:v>Slows diagnosis</x:v>
      </x:c>
      <x:c r="T34" t="str">
        <x:v>Some AI</x:v>
      </x:c>
      <x:c r="U34" t="n">
        <x:f>IFERROR(VLOOKUP(C34,Pricing!$A$2:$B$12,2,FALSE),"")</x:f>
        <x:v>3</x:v>
      </x:c>
      <x:c r="V34" t="n">
        <x:f>IFERROR(VLOOKUP(E34,Pricing!$G$2:$H$4,2,FALSE),"")</x:f>
        <x:v>1</x:v>
      </x:c>
      <x:c r="W34" t="n">
        <x:f>IFERROR(VLOOKUP(P34,Pricing!$J$2:$K$4,2,FALSE),"")</x:f>
        <x:v>1.75</x:v>
      </x:c>
      <x:c r="X34" t="n">
        <x:f>IFERROR(VLOOKUP(B34,Pricing!$D$2:$E$5,2,FALSE),"")</x:f>
        <x:v>1.25</x:v>
      </x:c>
      <x:c r="Y34" t="n">
        <x:f>IFERROR(U34*V34*W34*X34,"")</x:f>
        <x:v>6.5625</x:v>
      </x:c>
      <x:c r="Z34" t="n">
        <x:f>Pricing!$M$2</x:f>
        <x:v>215</x:v>
      </x:c>
      <x:c r="AA34" t="n">
        <x:f>IFERROR(Y34*Z34,"")</x:f>
        <x:v>1410.9375</x:v>
      </x:c>
    </x:row>
    <x:row r="35" ht="26.85546875" hidden="0" customHeight="1">
      <x:c r="A35" t="str">
        <x:v>Selenium|Network &amp; API Mocking|Heavy mock-server / stub dependence hiding real integration risk</x:v>
      </x:c>
      <x:c r="B35" t="str">
        <x:v>Selenium</x:v>
      </x:c>
      <x:c r="C35" t="str">
        <x:v>Network &amp; API Mocking</x:v>
      </x:c>
      <x:c r="D35" t="str">
        <x:v>Heavy mock-server / stub dependence hiding real integration risk</x:v>
      </x:c>
      <x:c r="E35" t="str">
        <x:v>High</x:v>
      </x:c>
      <x:c r="F35" t="str">
        <x:v>UI checks pass in isolation but fail to represent production behavior or live service interactions.</x:v>
      </x:c>
      <x:c r="G35" t="str">
        <x:v>The suite over-relies on stubbed services or fake environments for core confidence paths.</x:v>
      </x:c>
      <x:c r="H35" t="str">
        <x:v>Most coverage depends on mock servers/stub responses; little evidence of live-path smoke validation.</x:v>
      </x:c>
      <x:c r="I35" t="str">
        <x:v>Use mocks selectively and preserve a real-path smoke layer for release confidence.</x:v>
      </x:c>
      <x:c r="J35" t="str">
        <x:v>Limit broad service virtualization for core flows; add real-environment smoke coverage and document mock boundaries.</x:v>
      </x:c>
      <x:c r="K35" t="str">
        <x:v>Bad: every checkout path runs only against stubbed backend responses
Good: core happy path validated against a real integrated environment</x:v>
      </x:c>
      <x:c r="L35" t="str">
        <x:v>Policy: critical user journeys require a documented real-path check in CI.</x:v>
      </x:c>
      <x:c r="M35" t="str">
        <x:v>Important when Selenium is used as a broad UI confidence layer over complex backends.</x:v>
      </x:c>
      <x:c r="N35" t="str">
        <x:f>B35&amp;"|"&amp;C35&amp;"|"&amp;E35</x:f>
        <x:v>Selenium|Network &amp; API Mocking|High</x:v>
      </x:c>
      <x:c r="O35" t="str">
        <x:v>Low Trust</x:v>
      </x:c>
      <x:c r="P35" t="str">
        <x:v>Systemic</x:v>
      </x:c>
      <x:c r="Q35" t="str">
        <x:v>CI</x:v>
      </x:c>
      <x:c r="R35" t="str">
        <x:v>9</x:v>
      </x:c>
      <x:c r="S35" t="str">
        <x:v>False green risk</x:v>
      </x:c>
      <x:c r="T35" t="str">
        <x:v>No AI</x:v>
      </x:c>
      <x:c r="U35" t="n">
        <x:f>IFERROR(VLOOKUP(C35,Pricing!$A$2:$B$12,2,FALSE),"")</x:f>
        <x:v>4.5</x:v>
      </x:c>
      <x:c r="V35" t="n">
        <x:f>IFERROR(VLOOKUP(E35,Pricing!$G$2:$H$4,2,FALSE),"")</x:f>
        <x:v>1.5</x:v>
      </x:c>
      <x:c r="W35" t="n">
        <x:f>IFERROR(VLOOKUP(P35,Pricing!$J$2:$K$4,2,FALSE),"")</x:f>
        <x:v>1.75</x:v>
      </x:c>
      <x:c r="X35" t="n">
        <x:f>IFERROR(VLOOKUP(B35,Pricing!$D$2:$E$5,2,FALSE),"")</x:f>
        <x:v>1.25</x:v>
      </x:c>
      <x:c r="Y35" t="n">
        <x:f>IFERROR(U35*V35*W35*X35,"")</x:f>
        <x:v>14.765625</x:v>
      </x:c>
      <x:c r="Z35" t="n">
        <x:f>Pricing!$M$2</x:f>
        <x:v>215</x:v>
      </x:c>
      <x:c r="AA35" t="n">
        <x:f>IFERROR(Y35*Z35,"")</x:f>
        <x:v>3174.609375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10" customWidth="1"/>
  </x:cols>
  <x:sheetData>
    <x:row r="1">
      <x:c r="A1" s="4" t="str">
        <x:v>Multi-Framework Anti-patterns Builder</x:v>
      </x:c>
    </x:row>
    <x:row r="2">
      <x:c r="A2" s="5" t="inlineStr">
        <x:is>
          <x:t xml:space="preserve">Generated: 2026-01-22</x:t>
        </x:is>
      </x:c>
    </x:row>
    <x:row r="4">
      <x:c r="A4" s="6" t="inlineStr">
        <x:is>
          <x:t xml:space="preserve">Framework</x:t>
        </x:is>
      </x:c>
      <x:c r="B4" s="7" t="n"/>
    </x:row>
    <x:row r="5">
      <x:c r="A5" s="6" t="inlineStr">
        <x:is>
          <x:t xml:space="preserve">Category</x:t>
        </x:is>
      </x:c>
      <x:c r="B5" s="7" t="n"/>
    </x:row>
    <x:row r="6">
      <x:c r="A6" s="6" t="inlineStr">
        <x:is>
          <x:t xml:space="preserve">Severity (optional filter)</x:t>
        </x:is>
      </x:c>
      <x:c r="B6" s="7" t="n"/>
    </x:row>
    <x:row r="7" ht="40" customHeight="1">
      <x:c r="A7" s="8" t="inlineStr">
        <x:is>
          <x:t xml:space="preserve">Lookup Strategy</x:t>
        </x:is>
      </x:c>
      <x:c r="B7" s="9" t="inlineStr">
        <x:is>
          <x:t xml:space="preserve">Select a framework + category. Severity filter is optional; if multiple matches exist, first match is returned.</x:t>
        </x:is>
      </x:c>
    </x:row>
    <x:row r="8">
      <x:c r="A8" s="10" t="inlineStr">
        <x:is>
          <x:t xml:space="preserve">Anti-pattern</x:t>
        </x:is>
      </x:c>
      <x:c r="B8" s="11" t="str">
        <x:f>IFERROR(XLOOKUP(B4&amp;"|"&amp;B5&amp;"|"&amp;IF(B6="","*",B6),Matrix!$N:$N,Matrix!$D:$D, "(no match)",2),"(no match)")</x:f>
        <x:v>(no match)</x:v>
      </x:c>
    </x:row>
    <x:row r="9" ht="52" customHeight="1">
      <x:c r="A9" s="10" t="inlineStr">
        <x:is>
          <x:t xml:space="preserve">Symptom / Failure Mode</x:t>
        </x:is>
      </x:c>
      <x:c r="B9" s="11" t="str">
        <x:f>IFERROR(XLOOKUP(B4&amp;"|"&amp;B5&amp;"|"&amp;IF(B6="","*",B6),Matrix!$N:$N,Matrix!$F:$F, "(no match)",2),"(no match)")</x:f>
        <x:v>(no match)</x:v>
      </x:c>
    </x:row>
    <x:row r="10" ht="52" customHeight="1">
      <x:c r="A10" s="10" t="inlineStr">
        <x:is>
          <x:t xml:space="preserve">Root Cause</x:t>
        </x:is>
      </x:c>
      <x:c r="B10" s="11" t="str">
        <x:f>IFERROR(XLOOKUP(B4&amp;"|"&amp;B5&amp;"|"&amp;IF(B6="","*",B6),Matrix!$N:$N,Matrix!$G:$G, "(no match)",2),"(no match)")</x:f>
        <x:v>(no match)</x:v>
      </x:c>
    </x:row>
    <x:row r="11" ht="52" customHeight="1">
      <x:c r="A11" s="10" t="inlineStr">
        <x:is>
          <x:t xml:space="preserve">Detection Heuristic</x:t>
        </x:is>
      </x:c>
      <x:c r="B11" s="11" t="str">
        <x:f>IFERROR(XLOOKUP(B4&amp;"|"&amp;B5&amp;"|"&amp;IF(B6="","*",B6),Matrix!$N:$N,Matrix!$H:$H, "(no match)",2),"(no match)")</x:f>
        <x:v>(no match)</x:v>
      </x:c>
    </x:row>
    <x:row r="12" ht="52" customHeight="1">
      <x:c r="A12" s="10" t="inlineStr">
        <x:is>
          <x:t xml:space="preserve">Preferred Pattern</x:t>
        </x:is>
      </x:c>
      <x:c r="B12" s="11" t="str">
        <x:f>IFERROR(XLOOKUP(B4&amp;"|"&amp;B5&amp;"|"&amp;IF(B6="","*",B6),Matrix!$N:$N,Matrix!$I:$I, "(no match)",2),"(no match)")</x:f>
        <x:v>(no match)</x:v>
      </x:c>
    </x:row>
    <x:row r="13" ht="52" customHeight="1">
      <x:c r="A13" s="10" t="inlineStr">
        <x:is>
          <x:t xml:space="preserve">Fix / Refactor Steps</x:t>
        </x:is>
      </x:c>
      <x:c r="B13" s="11" t="str">
        <x:f>IFERROR(XLOOKUP(B4&amp;"|"&amp;B5&amp;"|"&amp;IF(B6="","*",B6),Matrix!$N:$N,Matrix!$J:$J, "(no match)",2),"(no match)")</x:f>
        <x:v>(no match)</x:v>
      </x:c>
    </x:row>
    <x:row r="14" ht="90" customHeight="1">
      <x:c r="A14" s="10" t="inlineStr">
        <x:is>
          <x:t xml:space="preserve">Example (Bad → Good)</x:t>
        </x:is>
      </x:c>
      <x:c r="B14" s="11" t="str">
        <x:f>IFERROR(XLOOKUP(B4&amp;"|"&amp;B5&amp;"|"&amp;IF(B6="","*",B6),Matrix!$N:$N,Matrix!$K:$K, "(no match)",2),"(no match)")</x:f>
        <x:v>(no match)</x:v>
      </x:c>
    </x:row>
    <x:row r="15" ht="52" customHeight="1">
      <x:c r="A15" s="10" t="inlineStr">
        <x:is>
          <x:t xml:space="preserve">CI Guardrail / Policy</x:t>
        </x:is>
      </x:c>
      <x:c r="B15" s="11" t="str">
        <x:f>IFERROR(XLOOKUP(B4&amp;"|"&amp;B5&amp;"|"&amp;IF(B6="","*",B6),Matrix!$N:$N,Matrix!$L:$L, "(no match)",2),"(no match)")</x:f>
        <x:v>(no match)</x:v>
      </x:c>
    </x:row>
    <x:row r="16" ht="52" customHeight="1">
      <x:c r="A16" s="10" t="inlineStr">
        <x:is>
          <x:t xml:space="preserve">Notes</x:t>
        </x:is>
      </x:c>
      <x:c r="B16" s="11" t="str">
        <x:f>IFERROR(XLOOKUP(B4&amp;"|"&amp;B5&amp;"|"&amp;IF(B6="","*",B6),Matrix!$N:$N,Matrix!$M:$M, "(no match)",2),"(no match)")</x:f>
        <x:v>(no match)</x:v>
      </x:c>
    </x:row>
    <x:row r="17">
      <x:c r="A17" s="10" t="inlineStr">
        <x:is>
          <x:t xml:space="preserve">Trust Level</x:t>
        </x:is>
      </x:c>
      <x:c r="B17" s="11" t="str">
        <x:f>IFERROR(XLOOKUP(B4&amp;"|"&amp;B5&amp;"|"&amp;IF(B6="","*",B6),Matrix!$N:$N,Matrix!$O:$O,"(no match)",2),"(no match)")</x:f>
        <x:v>(no match)</x:v>
      </x:c>
    </x:row>
    <x:row r="18">
      <x:c r="A18" s="10" t="inlineStr">
        <x:is>
          <x:t xml:space="preserve">Scope</x:t>
        </x:is>
      </x:c>
      <x:c r="B18" s="11" t="str">
        <x:f>IFERROR(XLOOKUP(B4&amp;"|"&amp;B5&amp;"|"&amp;IF(B6="","*",B6),Matrix!$N:$N,Matrix!$P:$P,"(no match)",2),"(no match)")</x:f>
        <x:v>(no match)</x:v>
      </x:c>
    </x:row>
    <x:row r="19">
      <x:c r="A19" s="10" t="inlineStr">
        <x:is>
          <x:t xml:space="preserve">Layer</x:t>
        </x:is>
      </x:c>
      <x:c r="B19" s="11" t="str">
        <x:f>IFERROR(XLOOKUP(B4&amp;"|"&amp;B5&amp;"|"&amp;IF(B6="","*",B6),Matrix!$N:$N,Matrix!$Q:$Q,"(no match)",2),"(no match)")</x:f>
        <x:v>(no match)</x:v>
      </x:c>
    </x:row>
    <x:row r="20">
      <x:c r="A20" s="10" t="inlineStr">
        <x:is>
          <x:t xml:space="preserve">First Sprint</x:t>
        </x:is>
      </x:c>
      <x:c r="B20" s="11" t="str">
        <x:f>IFERROR(XLOOKUP(B4&amp;"|"&amp;B5&amp;"|"&amp;IF(B6="","*",B6),Matrix!$N:$N,Matrix!$R:$R,"(no match)",2),"(no match)")</x:f>
        <x:v>(no match)</x:v>
      </x:c>
    </x:row>
    <x:row r="21">
      <x:c r="A21" s="10" t="inlineStr">
        <x:is>
          <x:t xml:space="preserve">Release Impact</x:t>
        </x:is>
      </x:c>
      <x:c r="B21" s="11" t="str">
        <x:f>IFERROR(XLOOKUP(B4&amp;"|"&amp;B5&amp;"|"&amp;IF(B6="","*",B6),Matrix!$N:$N,Matrix!$S:$S,"(no match)",2),"(no match)")</x:f>
        <x:v>(no match)</x:v>
      </x:c>
    </x:row>
    <x:row r="22">
      <x:c r="A22" s="10" t="inlineStr">
        <x:is>
          <x:t xml:space="preserve">Path Recommendation</x:t>
        </x:is>
      </x:c>
      <x:c r="B22" s="11" t="str">
        <x:f>IFERROR(XLOOKUP(B4&amp;"|"&amp;B5&amp;"|"&amp;IF(B6="","*",B6),Matrix!$N:$N,Matrix!$T:$T,"(no match)",2),"(no match)")</x:f>
        <x:v>(no match)</x:v>
      </x:c>
    </x:row>
    <x:row r="23">
      <x:c r="A23" s="10" t="inlineStr">
        <x:is>
          <x:t xml:space="preserve">Base Hours</x:t>
        </x:is>
      </x:c>
      <x:c r="B23" s="11" t="str">
        <x:f>IFERROR(XLOOKUP(B4&amp;"|"&amp;B5&amp;"|"&amp;IF(B6="","*",B6),Matrix!$N:$N,Matrix!$U:$U,"(no match)",2),"(no match)")</x:f>
        <x:v>(no match)</x:v>
      </x:c>
    </x:row>
    <x:row r="24">
      <x:c r="A24" s="10" t="inlineStr">
        <x:is>
          <x:t xml:space="preserve">Severity Multiplier</x:t>
        </x:is>
      </x:c>
      <x:c r="B24" s="11" t="str">
        <x:f>IFERROR(XLOOKUP(B4&amp;"|"&amp;B5&amp;"|"&amp;IF(B6="","*",B6),Matrix!$N:$N,Matrix!$V:$V,"(no match)",2),"(no match)")</x:f>
        <x:v>(no match)</x:v>
      </x:c>
    </x:row>
    <x:row r="25">
      <x:c r="A25" s="10" t="inlineStr">
        <x:is>
          <x:t xml:space="preserve">Scope Multiplier</x:t>
        </x:is>
      </x:c>
      <x:c r="B25" s="11" t="str">
        <x:f>IFERROR(XLOOKUP(B4&amp;"|"&amp;B5&amp;"|"&amp;IF(B6="","*",B6),Matrix!$N:$N,Matrix!$W:$W,"(no match)",2),"(no match)")</x:f>
        <x:v>(no match)</x:v>
      </x:c>
    </x:row>
    <x:row r="26">
      <x:c r="A26" s="10" t="inlineStr">
        <x:is>
          <x:t xml:space="preserve">Framework Multiplier</x:t>
        </x:is>
      </x:c>
      <x:c r="B26" s="11" t="str">
        <x:f>IFERROR(XLOOKUP(B4&amp;"|"&amp;B5&amp;"|"&amp;IF(B6="","*",B6),Matrix!$N:$N,Matrix!$X:$X,"(no match)",2),"(no match)")</x:f>
        <x:v>(no match)</x:v>
      </x:c>
    </x:row>
    <x:row r="27">
      <x:c r="A27" s="10" t="inlineStr">
        <x:is>
          <x:t xml:space="preserve">Estimated Hours</x:t>
        </x:is>
      </x:c>
      <x:c r="B27" s="18" t="str">
        <x:f>IFERROR(XLOOKUP(B4&amp;"|"&amp;B5&amp;"|"&amp;IF(B6="","*",B6),Matrix!$N:$N,Matrix!$Y:$Y,"(no match)",2),"(no match)")</x:f>
        <x:v>(no match)</x:v>
      </x:c>
    </x:row>
    <x:row r="28">
      <x:c r="A28" s="10" t="inlineStr">
        <x:is>
          <x:t xml:space="preserve">Hourly Rate</x:t>
        </x:is>
      </x:c>
      <x:c r="B28" s="19" t="n">
        <x:f>Pricing!$M$2</x:f>
        <x:v>215</x:v>
      </x:c>
    </x:row>
    <x:row r="29">
      <x:c r="A29" s="10" t="inlineStr">
        <x:is>
          <x:t xml:space="preserve">Estimated Cost</x:t>
        </x:is>
      </x:c>
      <x:c r="B29" s="20" t="str">
        <x:f>IFERROR(XLOOKUP(B4&amp;"|"&amp;B5&amp;"|"&amp;IF(B6="","*",B6),Matrix!$N:$N,Matrix!$AA:$AA,"(no match)",2),"(no match)")</x:f>
        <x:v>(no match)</x:v>
      </x:c>
    </x:row>
    <x:row r="31">
      <x:c r="A31" s="10" t="inlineStr">
        <x:is>
          <x:t xml:space="preserve">Filter Key</x:t>
        </x:is>
      </x:c>
      <x:c r="B31" s="11" t="str">
        <x:f>B4&amp;"|"&amp;B5&amp;"|"&amp;IF(B6="","High",B6)</x:f>
        <x:v>||High</x:v>
      </x:c>
    </x:row>
  </x:sheetData>
  <x:dataValidations count="3">
    <x:dataValidation type="list" allowBlank="0" showDropDown="0" showInputMessage="0" showErrorMessage="0" sqref="B4">
      <x:formula1>=Lists!$B$2:$B$5</x:formula1>
    </x:dataValidation>
    <x:dataValidation type="list" allowBlank="0" showDropDown="0" showInputMessage="0" showErrorMessage="0" sqref="B5">
      <x:formula1>=Lists!$C$2:$C$12</x:formula1>
    </x:dataValidation>
    <x:dataValidation type="list" allowBlank="1" showDropDown="0" showInputMessage="0" showErrorMessage="0" sqref="B6">
      <x:formula1>=Lists!$D$2:$D$4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34" customWidth="1"/>
    <x:col min="4" max="4" width="12" customWidth="1"/>
    <x:col min="5" max="5" width="14" customWidth="1"/>
    <x:col min="6" max="6" width="11" customWidth="1"/>
    <x:col min="7" max="7" width="13" customWidth="1"/>
    <x:col min="8" max="8" width="14" customWidth="1"/>
    <x:col min="9" max="9" width="28" customWidth="1"/>
    <x:col min="10" max="10" width="21" customWidth="1"/>
    <x:col min="12" max="12" width="18" customWidth="1"/>
    <x:col min="13" max="13" width="12" customWidth="1"/>
  </x:cols>
  <x:sheetData>
    <x:row r="1">
      <x:c r="A1" s="8" t="inlineStr">
        <x:is>
          <x:t xml:space="preserve">Actions</x:t>
        </x:is>
      </x:c>
      <x:c r="B1" s="8" t="inlineStr">
        <x:is>
          <x:t xml:space="preserve">Frameworks</x:t>
        </x:is>
      </x:c>
      <x:c r="C1" s="8" t="inlineStr">
        <x:is>
          <x:t xml:space="preserve">Categories</x:t>
        </x:is>
      </x:c>
      <x:c r="D1" s="8" t="inlineStr">
        <x:is>
          <x:t xml:space="preserve">Severity</x:t>
        </x:is>
      </x:c>
      <x:c r="E1" s="8" t="inlineStr">
        <x:is>
          <x:t xml:space="preserve">Trust Levels</x:t>
        </x:is>
      </x:c>
      <x:c r="F1" s="8" t="inlineStr">
        <x:is>
          <x:t xml:space="preserve">Scope</x:t>
        </x:is>
      </x:c>
      <x:c r="G1" s="8" t="inlineStr">
        <x:is>
          <x:t xml:space="preserve">Layer</x:t>
        </x:is>
      </x:c>
      <x:c r="H1" s="8" t="inlineStr">
        <x:is>
          <x:t xml:space="preserve">First Sprint</x:t>
        </x:is>
      </x:c>
      <x:c r="I1" s="8" t="inlineStr">
        <x:is>
          <x:t xml:space="preserve">Release Impact</x:t>
        </x:is>
      </x:c>
      <x:c r="J1" s="8" t="inlineStr">
        <x:is>
          <x:t xml:space="preserve">Path Recommendation</x:t>
        </x:is>
      </x:c>
      <x:c r="L1" s="1" t="inlineStr">
        <x:is>
          <x:t xml:space="preserve">Pricing Controls</x:t>
        </x:is>
      </x:c>
      <x:c r="M1" s="1" t="inlineStr">
        <x:is>
          <x:t xml:space="preserve">Value</x:t>
        </x:is>
      </x:c>
    </x:row>
    <x:row r="2">
      <x:c r="A2" t="inlineStr">
        <x:is>
          <x:t xml:space="preserve">Detect</x:t>
        </x:is>
      </x:c>
      <x:c r="B2" t="inlineStr">
        <x:is>
          <x:t xml:space="preserve">Playwright</x:t>
        </x:is>
      </x:c>
      <x:c r="C2" t="inlineStr">
        <x:is>
          <x:t xml:space="preserve">Selectors &amp; Locators</x:t>
        </x:is>
      </x:c>
      <x:c r="D2" t="inlineStr">
        <x:is>
          <x:t xml:space="preserve">High</x:t>
        </x:is>
      </x:c>
      <x:c r="E2" t="inlineStr">
        <x:is>
          <x:t xml:space="preserve">Low Trust</x:t>
        </x:is>
      </x:c>
      <x:c r="F2" t="inlineStr">
        <x:is>
          <x:t xml:space="preserve">Isolated</x:t>
        </x:is>
      </x:c>
      <x:c r="G2" t="inlineStr">
        <x:is>
          <x:t xml:space="preserve">UI</x:t>
        </x:is>
      </x:c>
      <x:c r="H2" t="inlineStr">
        <x:is>
          <x:t xml:space="preserve">2</x:t>
        </x:is>
      </x:c>
      <x:c r="I2" t="inlineStr">
        <x:is>
          <x:t xml:space="preserve">Blocks trust</x:t>
        </x:is>
      </x:c>
      <x:c r="J2" t="inlineStr">
        <x:is>
          <x:t xml:space="preserve">No AI</x:t>
        </x:is>
      </x:c>
      <x:c r="L2" s="21" t="inlineStr">
        <x:is>
          <x:t xml:space="preserve">Hourly Rate</x:t>
        </x:is>
      </x:c>
      <x:c r="M2" s="22" t="n">
        <x:v>215</x:v>
      </x:c>
    </x:row>
    <x:row r="3">
      <x:c r="A3" t="inlineStr">
        <x:is>
          <x:t xml:space="preserve">Prevent</x:t>
        </x:is>
      </x:c>
      <x:c r="B3" t="inlineStr">
        <x:is>
          <x:t xml:space="preserve">pytest</x:t>
        </x:is>
      </x:c>
      <x:c r="C3" t="inlineStr">
        <x:is>
          <x:t xml:space="preserve">Waiting &amp; Flakiness</x:t>
        </x:is>
      </x:c>
      <x:c r="D3" t="inlineStr">
        <x:is>
          <x:t xml:space="preserve">Medium</x:t>
        </x:is>
      </x:c>
      <x:c r="E3" t="inlineStr">
        <x:is>
          <x:t xml:space="preserve">Medium Trust</x:t>
        </x:is>
      </x:c>
      <x:c r="F3" t="inlineStr">
        <x:is>
          <x:t xml:space="preserve">Recurring</x:t>
        </x:is>
      </x:c>
      <x:c r="G3" t="inlineStr">
        <x:is>
          <x:t xml:space="preserve">API</x:t>
        </x:is>
      </x:c>
      <x:c r="H3" t="inlineStr">
        <x:is>
          <x:t xml:space="preserve">3</x:t>
        </x:is>
      </x:c>
      <x:c r="I3" t="inlineStr">
        <x:is>
          <x:t xml:space="preserve">False green risk</x:t>
        </x:is>
      </x:c>
      <x:c r="J3" t="inlineStr">
        <x:is>
          <x:t xml:space="preserve">Some AI</x:t>
        </x:is>
      </x:c>
    </x:row>
    <x:row r="4">
      <x:c r="A4" t="inlineStr">
        <x:is>
          <x:t xml:space="preserve">Fix</x:t>
        </x:is>
      </x:c>
      <x:c r="B4" t="inlineStr">
        <x:is>
          <x:t xml:space="preserve">Cypress</x:t>
        </x:is>
      </x:c>
      <x:c r="C4" t="inlineStr">
        <x:is>
          <x:t xml:space="preserve">Test Isolation &amp; State</x:t>
        </x:is>
      </x:c>
      <x:c r="D4" t="inlineStr">
        <x:is>
          <x:t xml:space="preserve">Low</x:t>
        </x:is>
      </x:c>
      <x:c r="E4" t="inlineStr">
        <x:is>
          <x:t xml:space="preserve">High Trust</x:t>
        </x:is>
      </x:c>
      <x:c r="F4" t="inlineStr">
        <x:is>
          <x:t xml:space="preserve">Systemic</x:t>
        </x:is>
      </x:c>
      <x:c r="G4" t="inlineStr">
        <x:is>
          <x:t xml:space="preserve">Auth</x:t>
        </x:is>
      </x:c>
      <x:c r="H4" t="inlineStr">
        <x:is>
          <x:t xml:space="preserve">5</x:t>
        </x:is>
      </x:c>
      <x:c r="I4" t="inlineStr">
        <x:is>
          <x:t xml:space="preserve">Slows diagnosis</x:t>
        </x:is>
      </x:c>
      <x:c r="J4" t="inlineStr">
        <x:is>
          <x:t xml:space="preserve">AI Forward</x:t>
        </x:is>
      </x:c>
    </x:row>
    <x:row r="5">
      <x:c r="A5" t="inlineStr">
        <x:is>
          <x:t xml:space="preserve">Refactor</x:t>
        </x:is>
      </x:c>
      <x:c r="B5" t="inlineStr">
        <x:is>
          <x:t xml:space="preserve">Selenium</x:t>
        </x:is>
      </x:c>
      <x:c r="C5" t="inlineStr">
        <x:is>
          <x:t xml:space="preserve">Parallelism &amp; Concurrency</x:t>
        </x:is>
      </x:c>
      <x:c r="G5" t="inlineStr">
        <x:is>
          <x:t xml:space="preserve">Data</x:t>
        </x:is>
      </x:c>
      <x:c r="H5" t="inlineStr">
        <x:is>
          <x:t xml:space="preserve">7</x:t>
        </x:is>
      </x:c>
      <x:c r="I5" t="inlineStr">
        <x:is>
          <x:t xml:space="preserve">Weakens release confidence</x:t>
        </x:is>
      </x:c>
    </x:row>
    <x:row r="6">
      <x:c r="A6" t="inlineStr">
        <x:is>
          <x:t xml:space="preserve">Verify</x:t>
        </x:is>
      </x:c>
      <x:c r="C6" t="inlineStr">
        <x:is>
          <x:t xml:space="preserve">Fixtures &amp; Setup/Teardown</x:t>
        </x:is>
      </x:c>
      <x:c r="G6" t="inlineStr">
        <x:is>
          <x:t xml:space="preserve">CI</x:t>
        </x:is>
      </x:c>
      <x:c r="H6" t="inlineStr">
        <x:is>
          <x:t xml:space="preserve">8</x:t>
        </x:is>
      </x:c>
      <x:c r="I6" t="inlineStr">
        <x:is>
          <x:t xml:space="preserve">Scalability risk only</x:t>
        </x:is>
      </x:c>
    </x:row>
    <x:row r="7">
      <x:c r="C7" t="inlineStr">
        <x:is>
          <x:t xml:space="preserve">Network &amp; API Mocking</x:t>
        </x:is>
      </x:c>
      <x:c r="G7" t="inlineStr">
        <x:is>
          <x:t xml:space="preserve">Code</x:t>
        </x:is>
      </x:c>
      <x:c r="H7" t="inlineStr">
        <x:is>
          <x:t xml:space="preserve">9</x:t>
        </x:is>
      </x:c>
    </x:row>
    <x:row r="8">
      <x:c r="C8" t="inlineStr">
        <x:is>
          <x:t xml:space="preserve">Reporting &amp; Debuggability</x:t>
        </x:is>
      </x:c>
      <x:c r="G8" t="inlineStr">
        <x:is>
          <x:t xml:space="preserve">Environment</x:t>
        </x:is>
      </x:c>
      <x:c r="H8" t="inlineStr">
        <x:is>
          <x:t xml:space="preserve">16</x:t>
        </x:is>
      </x:c>
    </x:row>
    <x:row r="9">
      <x:c r="C9" t="inlineStr">
        <x:is>
          <x:t xml:space="preserve">Performance &amp; Timeouts</x:t>
        </x:is>
      </x:c>
    </x:row>
    <x:row r="10">
      <x:c r="C10" t="inlineStr">
        <x:is>
          <x:t xml:space="preserve">Code Structure &amp; Maintainability</x:t>
        </x:is>
      </x:c>
    </x:row>
    <x:row r="11">
      <x:c r="C11" t="inlineStr">
        <x:is>
          <x:t xml:space="preserve">Assertions &amp; Oracles</x:t>
        </x:is>
      </x:c>
    </x:row>
    <x:row r="12">
      <x:c r="C12" t="inlineStr">
        <x:is>
          <x:t xml:space="preserve">CI/CD &amp; Environment Drift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6" customWidth="1"/>
    <x:col min="3" max="3" width="44" customWidth="1"/>
    <x:col min="4" max="4" width="44" customWidth="1"/>
  </x:cols>
  <x:sheetData>
    <x:row r="1">
      <x:c r="A1" s="13" t="inlineStr">
        <x:is>
          <x:t xml:space="preserve">Term</x:t>
        </x:is>
      </x:c>
      <x:c r="B1" s="13" t="inlineStr">
        <x:is>
          <x:t xml:space="preserve">Definition</x:t>
        </x:is>
      </x:c>
      <x:c r="C1" s="13" t="inlineStr">
        <x:is>
          <x:t xml:space="preserve">Why it matters</x:t>
        </x:is>
      </x:c>
      <x:c r="D1" s="13" t="inlineStr">
        <x:is>
          <x:t xml:space="preserve">Quick example / note</x:t>
        </x:is>
      </x:c>
    </x:row>
    <x:row r="2">
      <x:c r="A2" t="inlineStr">
        <x:is>
          <x:t xml:space="preserve">Flake</x:t>
        </x:is>
      </x:c>
      <x:c r="B2" t="inlineStr">
        <x:is>
          <x:t xml:space="preserve">Intermittent test failure not caused by product regression.</x:t>
        </x:is>
      </x:c>
      <x:c r="C2" t="inlineStr">
        <x:is>
          <x:t xml:space="preserve">Destroys trust in CI and slows teams.</x:t>
        </x:is>
      </x:c>
      <x:c r="D2" t="inlineStr">
        <x:is>
          <x:t xml:space="preserve">Often caused by timing, shared state, or unstable selectors.</x:t>
        </x:is>
      </x:c>
    </x:row>
    <x:row r="3">
      <x:c r="A3" t="inlineStr">
        <x:is>
          <x:t xml:space="preserve">Test Oracle</x:t>
        </x:is>
      </x:c>
      <x:c r="B3" t="inlineStr">
        <x:is>
          <x:t xml:space="preserve">The mechanism that decides pass/fail.</x:t>
        </x:is>
      </x:c>
      <x:c r="C3" t="inlineStr">
        <x:is>
          <x:t xml:space="preserve">Weak oracles create false greens.</x:t>
        </x:is>
      </x:c>
      <x:c r="D3" t="inlineStr">
        <x:is>
          <x:t xml:space="preserve">Prefer domain assertions vs presence-only checks.</x:t>
        </x:is>
      </x:c>
    </x:row>
    <x:row r="4">
      <x:c r="A4" t="inlineStr">
        <x:is>
          <x:t xml:space="preserve">Isolation</x:t>
        </x:is>
      </x:c>
      <x:c r="B4" t="inlineStr">
        <x:is>
          <x:t xml:space="preserve">Each test can run independently without ordering assumptions.</x:t>
        </x:is>
      </x:c>
      <x:c r="C4" t="inlineStr">
        <x:is>
          <x:t xml:space="preserve">Required for parallel runs and reproducibility.</x:t>
        </x:is>
      </x:c>
      <x:c r="D4" t="inlineStr">
        <x:is>
          <x:t xml:space="preserve">Use per-test data and cleanup; avoid shared globals.</x:t>
        </x:is>
      </x:c>
    </x:row>
    <x:row r="5">
      <x:c r="A5" t="inlineStr">
        <x:is>
          <x:t xml:space="preserve">Determinism</x:t>
        </x:is>
      </x:c>
      <x:c r="B5" t="inlineStr">
        <x:is>
          <x:t xml:space="preserve">Same inputs → same results.</x:t>
        </x:is>
      </x:c>
      <x:c r="C5" t="inlineStr">
        <x:is>
          <x:t xml:space="preserve">Makes failures debuggable.</x:t>
        </x:is>
      </x:c>
      <x:c r="D5" t="inlineStr">
        <x:is>
          <x:t xml:space="preserve">Pin randomness and control time/data.</x:t>
        </x:is>
      </x:c>
    </x:row>
    <x:row r="6">
      <x:c r="A6" t="inlineStr">
        <x:is>
          <x:t xml:space="preserve">Implicit Wait</x:t>
        </x:is>
      </x:c>
      <x:c r="B6" t="inlineStr">
        <x:is>
          <x:t xml:space="preserve">Sleeping instead of waiting on events/conditions.</x:t>
        </x:is>
      </x:c>
      <x:c r="C6" t="inlineStr">
        <x:is>
          <x:t xml:space="preserve">Creates flakes + slower suites.</x:t>
        </x:is>
      </x:c>
      <x:c r="D6" t="inlineStr">
        <x:is>
          <x:t xml:space="preserve">Replace sleep with explicit waits on signals.</x:t>
        </x:is>
      </x:c>
    </x:row>
    <x:row r="8">
      <x:c r="A8" t="inlineStr">
        <x:is>
          <x:t xml:space="preserve">Trust Level</x:t>
        </x:is>
      </x:c>
      <x:c r="B8" t="inlineStr">
        <x:is>
          <x:t xml:space="preserve">Routing signal indicating whether a team should start with foundation/hardening work (Low Trust), controlled expansion (Medium Trust), or safe scaling/acceleration (High Trust).</x:t>
        </x:is>
      </x:c>
      <x:c r="C8" t="inlineStr">
        <x:is>
          <x:t xml:space="preserve">Used to route anti-patterns into the right sprint and modernization path.</x:t>
        </x:is>
      </x:c>
    </x:row>
    <x:row r="9">
      <x:c r="A9" t="inlineStr">
        <x:is>
          <x:t xml:space="preserve">Scope</x:t>
        </x:is>
      </x:c>
      <x:c r="B9" t="inlineStr">
        <x:is>
          <x:t xml:space="preserve">How widespread an anti-pattern is: isolated issue, recurring pattern, or systemic problem.</x:t>
        </x:is>
      </x:c>
      <x:c r="C9" t="inlineStr">
        <x:is>
          <x:t xml:space="preserve">Used to route anti-patterns into the right sprint and modernization path.</x:t>
        </x:is>
      </x:c>
    </x:row>
    <x:row r="10">
      <x:c r="A10" t="inlineStr">
        <x:is>
          <x:t xml:space="preserve">Layer</x:t>
        </x:is>
      </x:c>
      <x:c r="B10" t="inlineStr">
        <x:is>
          <x:t xml:space="preserve">Primary system layer affected by the anti-pattern: UI, API, Auth, Data, CI, Code, or Environment.</x:t>
        </x:is>
      </x:c>
      <x:c r="C10" t="inlineStr">
        <x:is>
          <x:t xml:space="preserve">Used to route anti-patterns into the right sprint and modernization path.</x:t>
        </x:is>
      </x:c>
    </x:row>
    <x:row r="11">
      <x:c r="A11" t="inlineStr">
        <x:is>
          <x:t xml:space="preserve">First Sprint</x:t>
        </x:is>
      </x:c>
      <x:c r="B11" t="inlineStr">
        <x:is>
          <x:t xml:space="preserve">Recommended first sprint to address the anti-pattern based on the QA ALIGN roadmap.</x:t>
        </x:is>
      </x:c>
      <x:c r="C11" t="inlineStr">
        <x:is>
          <x:t xml:space="preserve">Used to route anti-patterns into the right sprint and modernization path.</x:t>
        </x:is>
      </x:c>
    </x:row>
    <x:row r="12">
      <x:c r="A12" t="inlineStr">
        <x:is>
          <x:t xml:space="preserve">Release Impact</x:t>
        </x:is>
      </x:c>
      <x:c r="B12" t="inlineStr">
        <x:is>
          <x:t xml:space="preserve">How the anti-pattern affects release confidence: blocks trust, causes false green risk, slows diagnosis, weakens release confidence, or creates scalability-only risk.</x:t>
        </x:is>
      </x:c>
      <x:c r="C12" t="inlineStr">
        <x:is>
          <x:t xml:space="preserve">Used to route anti-patterns into the right sprint and modernization path.</x:t>
        </x:is>
      </x:c>
    </x:row>
    <x:row r="13">
      <x:c r="A13" t="inlineStr">
        <x:is>
          <x:t xml:space="preserve">Path Recommendation</x:t>
        </x:is>
      </x:c>
      <x:c r="B13" t="inlineStr">
        <x:is>
          <x:t xml:space="preserve">Suggested modernization path based on anti-pattern profile: No AI, Some AI, or AI Forward.</x:t>
        </x:is>
      </x:c>
      <x:c r="C13" t="inlineStr">
        <x:is>
          <x:t xml:space="preserve">Used to route anti-patterns into the right sprint and modernization path.</x:t>
        </x:is>
      </x:c>
    </x:row>
    <x:row r="14">
      <x:c r="A14" t="inlineStr">
        <x:is>
          <x:t xml:space="preserve">Cypress</x:t>
        </x:is>
      </x:c>
      <x:c r="B14" t="inlineStr">
        <x:is>
          <x:t xml:space="preserve">Browser automation framework with command-queue execution and strong network stubbing ergonomics.</x:t>
        </x:is>
      </x:c>
      <x:c r="C14" t="inlineStr">
        <x:is>
          <x:t xml:space="preserve">Useful for app-level UI/API workflows, but can hide realism problems if over-stubbed.</x:t>
        </x:is>
      </x:c>
      <x:c r="D14" t="inlineStr">
        <x:is>
          <x:t xml:space="preserve">Common anti-patterns include cy.wait(ms), overuse of intercept stubs, and shared auth state.</x:t>
        </x:is>
      </x:c>
    </x:row>
    <x:row r="15">
      <x:c r="A15" t="inlineStr">
        <x:is>
          <x:t xml:space="preserve">Selenium</x:t>
        </x:is>
      </x:c>
      <x:c r="B15" t="inlineStr">
        <x:is>
          <x:t xml:space="preserve">WebDriver-based browser automation framework used across many languages and legacy enterprise stacks.</x:t>
        </x:is>
      </x:c>
      <x:c r="C15" t="inlineStr">
        <x:is>
          <x:t xml:space="preserve">Powerful and flexible, but highly vulnerable to brittle locators, sleep-based waits, and shared driver/state issues.</x:t>
        </x:is>
      </x:c>
      <x:c r="D15" t="inlineStr">
        <x:is>
          <x:t xml:space="preserve">Common anti-patterns include absolute XPath, Thread.sleep, and monolithic page objects.</x:t>
        </x:is>
      </x:c>
    </x:row>
    <x:row r="16">
      <x:c r="A16" s="3" t="inlineStr">
        <x:is>
          <x:t xml:space="preserve">Base Hours</x:t>
        </x:is>
      </x:c>
      <x:c r="B16" s="3" t="inlineStr">
        <x:is>
          <x:t xml:space="preserve">Average estimated remediation hours for one anti-pattern occurrence before weighting.</x:t>
        </x:is>
      </x:c>
      <x:c r="C16" s="3" t="inlineStr">
        <x:is>
          <x:t xml:space="preserve">Provides the labor baseline for pricing.</x:t>
        </x:is>
      </x:c>
      <x:c r="D16" s="3" t="inlineStr">
        <x:is>
          <x:t xml:space="preserve">Selectors &amp; Locators = 2.5 hours</x:t>
        </x:is>
      </x:c>
    </x:row>
    <x:row r="17">
      <x:c r="A17" s="3" t="inlineStr">
        <x:is>
          <x:t xml:space="preserve">Severity Multiplier</x:t>
        </x:is>
      </x:c>
      <x:c r="B17" s="3" t="inlineStr">
        <x:is>
          <x:t xml:space="preserve">Weight applied based on Low / Medium / High severity.</x:t>
        </x:is>
      </x:c>
      <x:c r="C17" s="3" t="inlineStr">
        <x:is>
          <x:t xml:space="preserve">Makes higher-risk problems cost more to remediate.</x:t>
        </x:is>
      </x:c>
      <x:c r="D17" s="3" t="inlineStr">
        <x:is>
          <x:t xml:space="preserve">High = 1.5x</x:t>
        </x:is>
      </x:c>
    </x:row>
    <x:row r="18">
      <x:c r="A18" s="3" t="inlineStr">
        <x:is>
          <x:t xml:space="preserve">Scope Multiplier</x:t>
        </x:is>
      </x:c>
      <x:c r="B18" s="3" t="inlineStr">
        <x:is>
          <x:t xml:space="preserve">Weight applied based on Isolated / Recurring / Systemic scope.</x:t>
        </x:is>
      </x:c>
      <x:c r="C18" s="3" t="inlineStr">
        <x:is>
          <x:t xml:space="preserve">Prevents systemic issues from being priced like one-off fixes.</x:t>
        </x:is>
      </x:c>
      <x:c r="D18" s="3" t="inlineStr">
        <x:is>
          <x:t xml:space="preserve">Systemic = 1.75x</x:t>
        </x:is>
      </x:c>
    </x:row>
    <x:row r="19">
      <x:c r="A19" s="3" t="inlineStr">
        <x:is>
          <x:t xml:space="preserve">Framework Multiplier</x:t>
        </x:is>
      </x:c>
      <x:c r="B19" s="3" t="inlineStr">
        <x:is>
          <x:t xml:space="preserve">Weight applied by framework complexity.</x:t>
        </x:is>
      </x:c>
      <x:c r="C19" s="3" t="inlineStr">
        <x:is>
          <x:t xml:space="preserve">Reflects legacy drag and remediation difficulty by framework.</x:t>
        </x:is>
      </x:c>
      <x:c r="D19" s="3" t="inlineStr">
        <x:is>
          <x:t xml:space="preserve">Selenium = 1.25x</x:t>
        </x:is>
      </x:c>
    </x:row>
    <x:row r="20">
      <x:c r="A20" s="3" t="inlineStr">
        <x:is>
          <x:t xml:space="preserve">Estimated Hours</x:t>
        </x:is>
      </x:c>
      <x:c r="B20" s="3" t="inlineStr">
        <x:is>
          <x:t xml:space="preserve">Calculated remediation hours per row.</x:t>
        </x:is>
      </x:c>
      <x:c r="C20" s="3" t="inlineStr">
        <x:is>
          <x:t xml:space="preserve">Drives advisory estimate and pricing.</x:t>
        </x:is>
      </x:c>
      <x:c r="D20" s="3" t="inlineStr">
        <x:is>
          <x:t xml:space="preserve">Base Hours × Severity × Scope × Framework</x:t>
        </x:is>
      </x:c>
    </x:row>
    <x:row r="21">
      <x:c r="A21" s="3" t="inlineStr">
        <x:is>
          <x:t xml:space="preserve">Estimated Cost</x:t>
        </x:is>
      </x:c>
      <x:c r="B21" s="3" t="inlineStr">
        <x:is>
          <x:t xml:space="preserve">Calculated remediation value at the current hourly rate.</x:t>
        </x:is>
      </x:c>
      <x:c r="C21" s="3" t="inlineStr">
        <x:is>
          <x:t xml:space="preserve">Converts technical findings into commercial value.</x:t>
        </x:is>
      </x:c>
      <x:c r="D21" s="3" t="inlineStr">
        <x:is>
          <x:t xml:space="preserve">Estimated Hours × $215/hr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" customWidth="1"/>
    <x:col min="4" max="4" width="14" customWidth="1"/>
    <x:col min="5" max="5" width="12" customWidth="1"/>
    <x:col min="7" max="7" width="12" customWidth="1"/>
    <x:col min="8" max="8" width="12" customWidth="1"/>
    <x:col min="10" max="10" width="12" customWidth="1"/>
    <x:col min="11" max="11" width="12" customWidth="1"/>
    <x:col min="13" max="13" width="18" customWidth="1"/>
    <x:col min="14" max="14" width="10" customWidth="1"/>
  </x:cols>
  <x:sheetData>
    <x:row r="1">
      <x:c r="A1" s="1" t="inlineStr">
        <x:is>
          <x:t xml:space="preserve">Category</x:t>
        </x:is>
      </x:c>
      <x:c r="B1" s="1" t="inlineStr">
        <x:is>
          <x:t xml:space="preserve">Base Hours</x:t>
        </x:is>
      </x:c>
      <x:c r="D1" s="1" t="inlineStr">
        <x:is>
          <x:t xml:space="preserve">Framework</x:t>
        </x:is>
      </x:c>
      <x:c r="E1" s="1" t="inlineStr">
        <x:is>
          <x:t xml:space="preserve">Multiplier</x:t>
        </x:is>
      </x:c>
      <x:c r="G1" s="1" t="inlineStr">
        <x:is>
          <x:t xml:space="preserve">Severity</x:t>
        </x:is>
      </x:c>
      <x:c r="H1" s="1" t="inlineStr">
        <x:is>
          <x:t xml:space="preserve">Multiplier</x:t>
        </x:is>
      </x:c>
      <x:c r="J1" s="1" t="inlineStr">
        <x:is>
          <x:t xml:space="preserve">Scope</x:t>
        </x:is>
      </x:c>
      <x:c r="K1" s="1" t="inlineStr">
        <x:is>
          <x:t xml:space="preserve">Multiplier</x:t>
        </x:is>
      </x:c>
      <x:c r="M1" s="1" t="inlineStr">
        <x:is>
          <x:t xml:space="preserve">Hourly Rate</x:t>
        </x:is>
      </x:c>
    </x:row>
    <x:row r="2">
      <x:c r="A2" s="3" t="inlineStr">
        <x:is>
          <x:t xml:space="preserve">Selectors &amp; Locators</x:t>
        </x:is>
      </x:c>
      <x:c r="B2" s="23" t="n">
        <x:v>2.5</x:v>
      </x:c>
      <x:c r="C2" s="3" t="n"/>
      <x:c r="D2" s="3" t="inlineStr">
        <x:is>
          <x:t xml:space="preserve">Playwright</x:t>
        </x:is>
      </x:c>
      <x:c r="E2" s="23" t="n">
        <x:v>1</x:v>
      </x:c>
      <x:c r="F2" s="3" t="n"/>
      <x:c r="G2" s="3" t="inlineStr">
        <x:is>
          <x:t xml:space="preserve">Low</x:t>
        </x:is>
      </x:c>
      <x:c r="H2" s="23" t="n">
        <x:v>0.75</x:v>
      </x:c>
      <x:c r="I2" s="3" t="n"/>
      <x:c r="J2" s="3" t="inlineStr">
        <x:is>
          <x:t xml:space="preserve">Isolated</x:t>
        </x:is>
      </x:c>
      <x:c r="K2" s="23" t="n">
        <x:v>0.75</x:v>
      </x:c>
      <x:c r="L2" s="3" t="n"/>
      <x:c r="M2" s="24" t="n">
        <x:v>215</x:v>
      </x:c>
    </x:row>
    <x:row r="3">
      <x:c r="A3" s="3" t="inlineStr">
        <x:is>
          <x:t xml:space="preserve">Waiting &amp; Flakiness</x:t>
        </x:is>
      </x:c>
      <x:c r="B3" s="23" t="n">
        <x:v>3.5</x:v>
      </x:c>
      <x:c r="C3" s="3" t="n"/>
      <x:c r="D3" s="3" t="inlineStr">
        <x:is>
          <x:t xml:space="preserve">pytest</x:t>
        </x:is>
      </x:c>
      <x:c r="E3" s="23" t="n">
        <x:v>0.9</x:v>
      </x:c>
      <x:c r="F3" s="3" t="n"/>
      <x:c r="G3" s="3" t="inlineStr">
        <x:is>
          <x:t xml:space="preserve">Medium</x:t>
        </x:is>
      </x:c>
      <x:c r="H3" s="23" t="n">
        <x:v>1</x:v>
      </x:c>
      <x:c r="I3" s="3" t="n"/>
      <x:c r="J3" s="3" t="inlineStr">
        <x:is>
          <x:t xml:space="preserve">Recurring</x:t>
        </x:is>
      </x:c>
      <x:c r="K3" s="23" t="n">
        <x:v>1</x:v>
      </x:c>
      <x:c r="L3" s="3" t="n"/>
      <x:c r="M3" s="3" t="n"/>
    </x:row>
    <x:row r="4">
      <x:c r="A4" s="3" t="inlineStr">
        <x:is>
          <x:t xml:space="preserve">Test Isolation &amp; State</x:t>
        </x:is>
      </x:c>
      <x:c r="B4" s="23" t="n">
        <x:v>5</x:v>
      </x:c>
      <x:c r="C4" s="3" t="n"/>
      <x:c r="D4" s="3" t="inlineStr">
        <x:is>
          <x:t xml:space="preserve">Cypress</x:t>
        </x:is>
      </x:c>
      <x:c r="E4" s="23" t="n">
        <x:v>1</x:v>
      </x:c>
      <x:c r="F4" s="3" t="n"/>
      <x:c r="G4" s="3" t="inlineStr">
        <x:is>
          <x:t xml:space="preserve">High</x:t>
        </x:is>
      </x:c>
      <x:c r="H4" s="23" t="n">
        <x:v>1.5</x:v>
      </x:c>
      <x:c r="I4" s="3" t="n"/>
      <x:c r="J4" s="3" t="inlineStr">
        <x:is>
          <x:t xml:space="preserve">Systemic</x:t>
        </x:is>
      </x:c>
      <x:c r="K4" s="23" t="n">
        <x:v>1.75</x:v>
      </x:c>
      <x:c r="L4" s="3" t="n"/>
      <x:c r="M4" s="25" t="inlineStr">
        <x:is>
          <x:t xml:space="preserve">Formula</x:t>
        </x:is>
      </x:c>
    </x:row>
    <x:row r="5">
      <x:c r="A5" s="3" t="inlineStr">
        <x:is>
          <x:t xml:space="preserve">Parallelism &amp; Concurrency</x:t>
        </x:is>
      </x:c>
      <x:c r="B5" s="23" t="n">
        <x:v>6</x:v>
      </x:c>
      <x:c r="C5" s="3" t="n"/>
      <x:c r="D5" s="3" t="inlineStr">
        <x:is>
          <x:t xml:space="preserve">Selenium</x:t>
        </x:is>
      </x:c>
      <x:c r="E5" s="23" t="n">
        <x:v>1.25</x:v>
      </x:c>
      <x:c r="F5" s="3" t="n"/>
      <x:c r="G5" s="3" t="n"/>
      <x:c r="H5" s="23" t="n"/>
      <x:c r="I5" s="3" t="n"/>
      <x:c r="J5" s="3" t="n"/>
      <x:c r="K5" s="23" t="n"/>
      <x:c r="L5" s="3" t="n"/>
      <x:c r="M5" s="3" t="inlineStr">
        <x:is>
          <x:t xml:space="preserve">Estimated Hours = Base Hours × Severity Multiplier × Scope Multiplier × Framework Multiplier</x:t>
        </x:is>
      </x:c>
    </x:row>
    <x:row r="6">
      <x:c r="A6" s="3" t="inlineStr">
        <x:is>
          <x:t xml:space="preserve">Fixtures &amp; Setup/Teardown</x:t>
        </x:is>
      </x:c>
      <x:c r="B6" s="23" t="n">
        <x:v>3</x:v>
      </x:c>
      <x:c r="C6" s="3" t="n"/>
      <x:c r="D6" s="3" t="n"/>
      <x:c r="E6" s="23" t="n"/>
      <x:c r="F6" s="3" t="n"/>
      <x:c r="G6" s="3" t="n"/>
      <x:c r="H6" s="23" t="n"/>
      <x:c r="I6" s="3" t="n"/>
      <x:c r="J6" s="3" t="n"/>
      <x:c r="K6" s="23" t="n"/>
      <x:c r="L6" s="3" t="n"/>
      <x:c r="M6" s="3" t="n"/>
    </x:row>
    <x:row r="7">
      <x:c r="A7" s="3" t="inlineStr">
        <x:is>
          <x:t xml:space="preserve">Network &amp; API Mocking</x:t>
        </x:is>
      </x:c>
      <x:c r="B7" s="23" t="n">
        <x:v>4.5</x:v>
      </x:c>
      <x:c r="C7" s="3" t="n"/>
      <x:c r="D7" s="3" t="n"/>
      <x:c r="E7" s="23" t="n"/>
      <x:c r="F7" s="3" t="n"/>
      <x:c r="G7" s="3" t="n"/>
      <x:c r="H7" s="23" t="n"/>
      <x:c r="I7" s="3" t="n"/>
      <x:c r="J7" s="3" t="n"/>
      <x:c r="K7" s="23" t="n"/>
      <x:c r="L7" s="3" t="n"/>
      <x:c r="M7" s="25" t="inlineStr">
        <x:is>
          <x:t xml:space="preserve">Estimated Cost</x:t>
        </x:is>
      </x:c>
    </x:row>
    <x:row r="8">
      <x:c r="A8" s="3" t="inlineStr">
        <x:is>
          <x:t xml:space="preserve">Reporting &amp; Debuggability</x:t>
        </x:is>
      </x:c>
      <x:c r="B8" s="23" t="n">
        <x:v>2</x:v>
      </x:c>
      <x:c r="C8" s="3" t="n"/>
      <x:c r="D8" s="3" t="n"/>
      <x:c r="E8" s="23" t="n"/>
      <x:c r="F8" s="3" t="n"/>
      <x:c r="G8" s="3" t="n"/>
      <x:c r="H8" s="23" t="n"/>
      <x:c r="I8" s="3" t="n"/>
      <x:c r="J8" s="3" t="n"/>
      <x:c r="K8" s="23" t="n"/>
      <x:c r="L8" s="3" t="n"/>
      <x:c r="M8" s="3" t="inlineStr">
        <x:is>
          <x:t xml:space="preserve">Estimated Hours × Hourly Rate</x:t>
        </x:is>
      </x:c>
    </x:row>
    <x:row r="9">
      <x:c r="A9" s="3" t="inlineStr">
        <x:is>
          <x:t xml:space="preserve">Performance &amp; Timeouts</x:t>
        </x:is>
      </x:c>
      <x:c r="B9" s="23" t="n">
        <x:v>3</x:v>
      </x:c>
      <x:c r="C9" s="3" t="n"/>
      <x:c r="D9" s="3" t="n"/>
      <x:c r="E9" s="23" t="n"/>
      <x:c r="F9" s="3" t="n"/>
      <x:c r="G9" s="3" t="n"/>
      <x:c r="H9" s="23" t="n"/>
      <x:c r="I9" s="3" t="n"/>
      <x:c r="J9" s="3" t="n"/>
      <x:c r="K9" s="23" t="n"/>
      <x:c r="L9" s="3" t="n"/>
      <x:c r="M9" s="3" t="n"/>
    </x:row>
    <x:row r="10">
      <x:c r="A10" s="3" t="inlineStr">
        <x:is>
          <x:t xml:space="preserve">Code Structure &amp; Maintainability</x:t>
        </x:is>
      </x:c>
      <x:c r="B10" s="23" t="n">
        <x:v>4</x:v>
      </x:c>
      <x:c r="C10" s="3" t="n"/>
      <x:c r="D10" s="3" t="n"/>
      <x:c r="E10" s="23" t="n"/>
      <x:c r="F10" s="3" t="n"/>
      <x:c r="G10" s="3" t="n"/>
      <x:c r="H10" s="23" t="n"/>
      <x:c r="I10" s="3" t="n"/>
      <x:c r="J10" s="3" t="n"/>
      <x:c r="K10" s="23" t="n"/>
      <x:c r="L10" s="3" t="n"/>
      <x:c r="M10" s="3" t="n"/>
    </x:row>
    <x:row r="11">
      <x:c r="A11" s="3" t="inlineStr">
        <x:is>
          <x:t xml:space="preserve">Assertions &amp; Oracles</x:t>
        </x:is>
      </x:c>
      <x:c r="B11" s="23" t="n">
        <x:v>2.5</x:v>
      </x:c>
      <x:c r="C11" s="3" t="n"/>
      <x:c r="D11" s="3" t="n"/>
      <x:c r="E11" s="23" t="n"/>
      <x:c r="F11" s="3" t="n"/>
      <x:c r="G11" s="3" t="n"/>
      <x:c r="H11" s="23" t="n"/>
      <x:c r="I11" s="3" t="n"/>
      <x:c r="J11" s="3" t="n"/>
      <x:c r="K11" s="23" t="n"/>
      <x:c r="L11" s="3" t="n"/>
      <x:c r="M11" s="3" t="n"/>
    </x:row>
    <x:row r="12">
      <x:c r="A12" s="3" t="inlineStr">
        <x:is>
          <x:t xml:space="preserve">CI/CD &amp; Environment Drift</x:t>
        </x:is>
      </x:c>
      <x:c r="B12" s="23" t="n">
        <x:v>4.5</x:v>
      </x:c>
      <x:c r="C12" s="3" t="n"/>
      <x:c r="D12" s="3" t="n"/>
      <x:c r="E12" s="23" t="n"/>
      <x:c r="F12" s="3" t="n"/>
      <x:c r="G12" s="3" t="n"/>
      <x:c r="H12" s="23" t="n"/>
      <x:c r="I12" s="3" t="n"/>
      <x:c r="J12" s="3" t="n"/>
      <x:c r="K12" s="23" t="n"/>
      <x:c r="L12" s="3" t="n"/>
      <x:c r="M12" s="3" t="n"/>
    </x:row>
  </x:sheetData>
  <x:pageMargins left="0.7" right="0.7" top="0.75" bottom="0.75" header="0.3" footer="0.3"/>
</x:worksheet>
</file>